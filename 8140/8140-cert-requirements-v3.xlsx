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anation" sheetId="1" state="visible" r:id="rId1"/>
    <sheet xmlns:r="http://schemas.openxmlformats.org/officeDocument/2006/relationships" name="Certification Requirements" sheetId="2" state="visible" r:id="rId2"/>
    <sheet xmlns:r="http://schemas.openxmlformats.org/officeDocument/2006/relationships" name="Certification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2"/>
    </font>
    <font>
      <b val="1"/>
      <color rgb="FFFFFFFF"/>
    </font>
    <font>
      <i val="1"/>
    </font>
    <font>
      <b val="1"/>
      <color rgb="FFFFFFFF"/>
      <sz val="12"/>
    </font>
    <font>
      <b val="1"/>
      <color rgb="FFFFFFFF"/>
      <sz val="10"/>
    </font>
    <font>
      <b val="1"/>
      <color rgb="FF000000"/>
    </font>
    <font>
      <b val="1"/>
      <i val="1"/>
      <color rgb="FFFFFFFF"/>
    </font>
    <font>
      <b val="1"/>
    </font>
    <font>
      <i val="1"/>
      <sz val="9"/>
    </font>
    <font>
      <i val="1"/>
      <color rgb="FF595959"/>
    </font>
  </fonts>
  <fills count="206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1F4E79"/>
      </patternFill>
    </fill>
    <fill>
      <patternFill patternType="solid">
        <fgColor rgb="FF595959"/>
      </patternFill>
    </fill>
    <fill>
      <patternFill patternType="solid">
        <fgColor rgb="FF2E75B6"/>
      </patternFill>
    </fill>
    <fill>
      <patternFill patternType="solid">
        <fgColor rgb="FFC05A00"/>
      </patternFill>
    </fill>
    <fill>
      <patternFill patternType="solid">
        <fgColor rgb="FF7030A0"/>
      </patternFill>
    </fill>
    <fill>
      <patternFill patternType="solid">
        <fgColor rgb="FFBF8F00"/>
      </patternFill>
    </fill>
    <fill>
      <patternFill patternType="solid">
        <fgColor rgb="FF0F7287"/>
      </patternFill>
    </fill>
    <fill>
      <patternFill patternType="solid">
        <fgColor rgb="FF996633"/>
      </patternFill>
    </fill>
    <fill>
      <patternFill patternType="solid">
        <fgColor rgb="FF548235"/>
      </patternFill>
    </fill>
    <fill>
      <patternFill patternType="solid">
        <fgColor rgb="FF6F6000"/>
      </patternFill>
    </fill>
    <fill>
      <patternFill patternType="solid">
        <fgColor rgb="FF1F4E3C"/>
      </patternFill>
    </fill>
    <fill>
      <patternFill patternType="solid">
        <fgColor rgb="FF7F6000"/>
      </patternFill>
    </fill>
    <fill>
      <patternFill patternType="solid">
        <fgColor rgb="FF4C4C4C"/>
      </patternFill>
    </fill>
    <fill>
      <patternFill patternType="solid">
        <fgColor rgb="FF82164C"/>
      </patternFill>
    </fill>
    <fill>
      <patternFill patternType="solid">
        <fgColor rgb="FF225376"/>
      </patternFill>
    </fill>
    <fill>
      <patternFill patternType="solid">
        <fgColor rgb="FF224976"/>
      </patternFill>
    </fill>
    <fill>
      <patternFill patternType="solid">
        <fgColor rgb="FF223F76"/>
      </patternFill>
    </fill>
    <fill>
      <patternFill patternType="solid">
        <fgColor rgb="FF223676"/>
      </patternFill>
    </fill>
    <fill>
      <patternFill patternType="solid">
        <fgColor rgb="FF222C76"/>
      </patternFill>
    </fill>
    <fill>
      <patternFill patternType="solid">
        <fgColor rgb="FF222276"/>
      </patternFill>
    </fill>
    <fill>
      <patternFill patternType="solid">
        <fgColor rgb="FF824316"/>
      </patternFill>
    </fill>
    <fill>
      <patternFill patternType="solid">
        <fgColor rgb="FF824916"/>
      </patternFill>
    </fill>
    <fill>
      <patternFill patternType="solid">
        <fgColor rgb="FF824F16"/>
      </patternFill>
    </fill>
    <fill>
      <patternFill patternType="solid">
        <fgColor rgb="FF825516"/>
      </patternFill>
    </fill>
    <fill>
      <patternFill patternType="solid">
        <fgColor rgb="FF82165E"/>
      </patternFill>
    </fill>
    <fill>
      <patternFill patternType="solid">
        <fgColor rgb="FF821664"/>
      </patternFill>
    </fill>
    <fill>
      <patternFill patternType="solid">
        <fgColor rgb="FF82166A"/>
      </patternFill>
    </fill>
    <fill>
      <patternFill patternType="solid">
        <fgColor rgb="FF821670"/>
      </patternFill>
    </fill>
    <fill>
      <patternFill patternType="solid">
        <fgColor rgb="FF821676"/>
      </patternFill>
    </fill>
    <fill>
      <patternFill patternType="solid">
        <fgColor rgb="FF82167C"/>
      </patternFill>
    </fill>
    <fill>
      <patternFill patternType="solid">
        <fgColor rgb="FF821682"/>
      </patternFill>
    </fill>
    <fill>
      <patternFill patternType="solid">
        <fgColor rgb="FF7C1682"/>
      </patternFill>
    </fill>
    <fill>
      <patternFill patternType="solid">
        <fgColor rgb="FF761682"/>
      </patternFill>
    </fill>
    <fill>
      <patternFill patternType="solid">
        <fgColor rgb="FF701682"/>
      </patternFill>
    </fill>
    <fill>
      <patternFill patternType="solid">
        <fgColor rgb="FF6A1682"/>
      </patternFill>
    </fill>
    <fill>
      <patternFill patternType="solid">
        <fgColor rgb="FF641682"/>
      </patternFill>
    </fill>
    <fill>
      <patternFill patternType="solid">
        <fgColor rgb="FF5E1682"/>
      </patternFill>
    </fill>
    <fill>
      <patternFill patternType="solid">
        <fgColor rgb="FF581682"/>
      </patternFill>
    </fill>
    <fill>
      <patternFill patternType="solid">
        <fgColor rgb="FF521682"/>
      </patternFill>
    </fill>
    <fill>
      <patternFill patternType="solid">
        <fgColor rgb="FF4C1682"/>
      </patternFill>
    </fill>
    <fill>
      <patternFill patternType="solid">
        <fgColor rgb="FF461682"/>
      </patternFill>
    </fill>
    <fill>
      <patternFill patternType="solid">
        <fgColor rgb="FF401682"/>
      </patternFill>
    </fill>
    <fill>
      <patternFill patternType="solid">
        <fgColor rgb="FF3A1682"/>
      </patternFill>
    </fill>
    <fill>
      <patternFill patternType="solid">
        <fgColor rgb="FF8D620B"/>
      </patternFill>
    </fill>
    <fill>
      <patternFill patternType="solid">
        <fgColor rgb="FF8D570B"/>
      </patternFill>
    </fill>
    <fill>
      <patternFill patternType="solid">
        <fgColor rgb="FF226F76"/>
      </patternFill>
    </fill>
    <fill>
      <patternFill patternType="solid">
        <fgColor rgb="FF226976"/>
      </patternFill>
    </fill>
    <fill>
      <patternFill patternType="solid">
        <fgColor rgb="FF226376"/>
      </patternFill>
    </fill>
    <fill>
      <patternFill patternType="solid">
        <fgColor rgb="FF225D76"/>
      </patternFill>
    </fill>
    <fill>
      <patternFill patternType="solid">
        <fgColor rgb="FF225776"/>
      </patternFill>
    </fill>
    <fill>
      <patternFill patternType="solid">
        <fgColor rgb="FF225076"/>
      </patternFill>
    </fill>
    <fill>
      <patternFill patternType="solid">
        <fgColor rgb="FF224A76"/>
      </patternFill>
    </fill>
    <fill>
      <patternFill patternType="solid">
        <fgColor rgb="FF224476"/>
      </patternFill>
    </fill>
    <fill>
      <patternFill patternType="solid">
        <fgColor rgb="FF223E76"/>
      </patternFill>
    </fill>
    <fill>
      <patternFill patternType="solid">
        <fgColor rgb="FF6E4C2A"/>
      </patternFill>
    </fill>
    <fill>
      <patternFill patternType="solid">
        <fgColor rgb="FF6E462A"/>
      </patternFill>
    </fill>
    <fill>
      <patternFill patternType="solid">
        <fgColor rgb="FF297622"/>
      </patternFill>
    </fill>
    <fill>
      <patternFill patternType="solid">
        <fgColor rgb="FF227629"/>
      </patternFill>
    </fill>
    <fill>
      <patternFill patternType="solid">
        <fgColor rgb="FF227637"/>
      </patternFill>
    </fill>
    <fill>
      <patternFill patternType="solid">
        <fgColor rgb="FF227645"/>
      </patternFill>
    </fill>
    <fill>
      <patternFill patternType="solid">
        <fgColor rgb="FF766F22"/>
      </patternFill>
    </fill>
    <fill>
      <patternFill patternType="solid">
        <fgColor rgb="FF1A7E4C"/>
      </patternFill>
    </fill>
    <fill>
      <patternFill patternType="solid">
        <fgColor rgb="FF1A7E5D"/>
      </patternFill>
    </fill>
    <fill>
      <patternFill patternType="solid">
        <fgColor rgb="FF8D690B"/>
      </patternFill>
    </fill>
    <fill>
      <patternFill patternType="solid">
        <fgColor rgb="FF8D700B"/>
      </patternFill>
    </fill>
    <fill>
      <patternFill patternType="solid">
        <fgColor rgb="FF8D770B"/>
      </patternFill>
    </fill>
    <fill>
      <patternFill patternType="solid">
        <fgColor rgb="FFD1D1D1"/>
      </patternFill>
    </fill>
    <fill>
      <patternFill patternType="solid">
        <fgColor rgb="FFA3A3A3"/>
      </patternFill>
    </fill>
    <fill>
      <patternFill patternType="solid">
        <fgColor rgb="FF6B6B6B"/>
      </patternFill>
    </fill>
    <fill>
      <patternFill patternType="solid">
        <fgColor rgb="FF70ABD5"/>
      </patternFill>
    </fill>
    <fill>
      <patternFill patternType="solid">
        <fgColor rgb="FFB65E20"/>
      </patternFill>
    </fill>
    <fill>
      <patternFill patternType="solid">
        <fgColor rgb="FFE362BF"/>
      </patternFill>
    </fill>
    <fill>
      <patternFill patternType="solid">
        <fgColor rgb="FFB62094"/>
      </patternFill>
    </fill>
    <fill>
      <patternFill patternType="solid">
        <fgColor rgb="FFE362CE"/>
      </patternFill>
    </fill>
    <fill>
      <patternFill patternType="solid">
        <fgColor rgb="FFC68910"/>
      </patternFill>
    </fill>
    <fill>
      <patternFill patternType="solid">
        <fgColor rgb="FF3093A6"/>
      </patternFill>
    </fill>
    <fill>
      <patternFill patternType="solid">
        <fgColor rgb="FF30A64D"/>
      </patternFill>
    </fill>
    <fill>
      <patternFill patternType="solid">
        <fgColor rgb="FFF2F2F2"/>
      </patternFill>
    </fill>
    <fill>
      <patternFill patternType="solid">
        <fgColor rgb="FF70C5D5"/>
      </patternFill>
    </fill>
    <fill>
      <patternFill patternType="solid">
        <fgColor rgb="FF3071A6"/>
      </patternFill>
    </fill>
    <fill>
      <patternFill patternType="solid">
        <fgColor rgb="FF3068A6"/>
      </patternFill>
    </fill>
    <fill>
      <patternFill patternType="solid">
        <fgColor rgb="FF3060A6"/>
      </patternFill>
    </fill>
    <fill>
      <patternFill patternType="solid">
        <fgColor rgb="FFB7D5EA"/>
      </patternFill>
    </fill>
    <fill>
      <patternFill patternType="solid">
        <fgColor rgb="FF709FD5"/>
      </patternFill>
    </fill>
    <fill>
      <patternFill patternType="solid">
        <fgColor rgb="FFB6208C"/>
      </patternFill>
    </fill>
    <fill>
      <patternFill patternType="solid">
        <fgColor rgb="FFE362C6"/>
      </patternFill>
    </fill>
    <fill>
      <patternFill patternType="solid">
        <fgColor rgb="FFB620A5"/>
      </patternFill>
    </fill>
    <fill>
      <patternFill patternType="solid">
        <fgColor rgb="FFB620AD"/>
      </patternFill>
    </fill>
    <fill>
      <patternFill patternType="solid">
        <fgColor rgb="FFE362E3"/>
      </patternFill>
    </fill>
    <fill>
      <patternFill patternType="solid">
        <fgColor rgb="FF9D20B6"/>
      </patternFill>
    </fill>
    <fill>
      <patternFill patternType="solid">
        <fgColor rgb="FF6B20B6"/>
      </patternFill>
    </fill>
    <fill>
      <patternFill patternType="solid">
        <fgColor rgb="FF308BA6"/>
      </patternFill>
    </fill>
    <fill>
      <patternFill patternType="solid">
        <fgColor rgb="FF3AA630"/>
      </patternFill>
    </fill>
    <fill>
      <patternFill patternType="solid">
        <fgColor rgb="FFFF0000"/>
      </patternFill>
    </fill>
    <fill>
      <patternFill patternType="solid">
        <fgColor rgb="FFB66620"/>
      </patternFill>
    </fill>
    <fill>
      <patternFill patternType="solid">
        <fgColor rgb="FFB62084"/>
      </patternFill>
    </fill>
    <fill>
      <patternFill patternType="solid">
        <fgColor rgb="FFE362D5"/>
      </patternFill>
    </fill>
    <fill>
      <patternFill patternType="solid">
        <fgColor rgb="FFAD20B6"/>
      </patternFill>
    </fill>
    <fill>
      <patternFill patternType="solid">
        <fgColor rgb="FF70B7D5"/>
      </patternFill>
    </fill>
    <fill>
      <patternFill patternType="solid">
        <fgColor rgb="FFE3AD62"/>
      </patternFill>
    </fill>
    <fill>
      <patternFill patternType="solid">
        <fgColor rgb="FF8C20B6"/>
      </patternFill>
    </fill>
    <fill>
      <patternFill patternType="solid">
        <fgColor rgb="FF70BED5"/>
      </patternFill>
    </fill>
    <fill>
      <patternFill patternType="solid">
        <fgColor rgb="FFCCA379"/>
      </patternFill>
    </fill>
    <fill>
      <patternFill patternType="solid">
        <fgColor rgb="FFE39F62"/>
      </patternFill>
    </fill>
    <fill>
      <patternFill patternType="solid">
        <fgColor rgb="FFA362E3"/>
      </patternFill>
    </fill>
    <fill>
      <patternFill patternType="solid">
        <fgColor rgb="FF25B06B"/>
      </patternFill>
    </fill>
    <fill>
      <patternFill patternType="solid">
        <fgColor rgb="FF3067A6"/>
      </patternFill>
    </fill>
    <fill>
      <patternFill patternType="solid">
        <fgColor rgb="FFA69C30"/>
      </patternFill>
    </fill>
    <fill>
      <patternFill patternType="solid">
        <fgColor rgb="FFB6206B"/>
      </patternFill>
    </fill>
    <fill>
      <patternFill patternType="solid">
        <fgColor rgb="FF7088D5"/>
      </patternFill>
    </fill>
    <fill>
      <patternFill patternType="solid">
        <fgColor rgb="FF9420B6"/>
      </patternFill>
    </fill>
    <fill>
      <patternFill patternType="solid">
        <fgColor rgb="FF7B20B6"/>
      </patternFill>
    </fill>
    <fill>
      <patternFill patternType="solid">
        <fgColor rgb="FF6220B6"/>
      </patternFill>
    </fill>
    <fill>
      <patternFill patternType="solid">
        <fgColor rgb="FF9B6B3A"/>
      </patternFill>
    </fill>
    <fill>
      <patternFill patternType="solid">
        <fgColor rgb="FFD5CD70"/>
      </patternFill>
    </fill>
    <fill>
      <patternFill patternType="solid">
        <fgColor rgb="FFB7CFEA"/>
      </patternFill>
    </fill>
    <fill>
      <patternFill patternType="solid">
        <fgColor rgb="FF7094D5"/>
      </patternFill>
    </fill>
    <fill>
      <patternFill patternType="solid">
        <fgColor rgb="FFE39862"/>
      </patternFill>
    </fill>
    <fill>
      <patternFill patternType="solid">
        <fgColor rgb="FFF1B0DB"/>
      </patternFill>
    </fill>
    <fill>
      <patternFill patternType="solid">
        <fgColor rgb="FFF1B0DF"/>
      </patternFill>
    </fill>
    <fill>
      <patternFill patternType="solid">
        <fgColor rgb="FFCE62E3"/>
      </patternFill>
    </fill>
    <fill>
      <patternFill patternType="solid">
        <fgColor rgb="FF9462E3"/>
      </patternFill>
    </fill>
    <fill>
      <patternFill patternType="solid">
        <fgColor rgb="FF8D62E3"/>
      </patternFill>
    </fill>
    <fill>
      <patternFill patternType="solid">
        <fgColor rgb="FFB7E6EA"/>
      </patternFill>
    </fill>
    <fill>
      <patternFill patternType="solid">
        <fgColor rgb="FF30A63A"/>
      </patternFill>
    </fill>
    <fill>
      <patternFill patternType="solid">
        <fgColor rgb="FFE362A3"/>
      </patternFill>
    </fill>
    <fill>
      <patternFill patternType="solid">
        <fgColor rgb="FFF1B0EA"/>
      </patternFill>
    </fill>
    <fill>
      <patternFill patternType="solid">
        <fgColor rgb="FFD1B0F1"/>
      </patternFill>
    </fill>
    <fill>
      <patternFill patternType="solid">
        <fgColor rgb="FF707CD5"/>
      </patternFill>
    </fill>
    <fill>
      <patternFill patternType="solid">
        <fgColor rgb="FF70D579"/>
      </patternFill>
    </fill>
    <fill>
      <patternFill patternType="solid">
        <fgColor rgb="FFE3A662"/>
      </patternFill>
    </fill>
    <fill>
      <patternFill patternType="solid">
        <fgColor rgb="FFDC62E3"/>
      </patternFill>
    </fill>
    <fill>
      <patternFill patternType="solid">
        <fgColor rgb="FFA520B6"/>
      </patternFill>
    </fill>
    <fill>
      <patternFill patternType="solid">
        <fgColor rgb="FF8420B6"/>
      </patternFill>
    </fill>
    <fill>
      <patternFill patternType="solid">
        <fgColor rgb="FFC67A10"/>
      </patternFill>
    </fill>
    <fill>
      <patternFill patternType="solid">
        <fgColor rgb="FF67DEB7"/>
      </patternFill>
    </fill>
    <fill>
      <patternFill patternType="solid">
        <fgColor rgb="FF3030A6"/>
      </patternFill>
    </fill>
    <fill>
      <patternFill patternType="solid">
        <fgColor rgb="FFB67720"/>
      </patternFill>
    </fill>
    <fill>
      <patternFill patternType="solid">
        <fgColor rgb="FF70AFD5"/>
      </patternFill>
    </fill>
    <fill>
      <patternFill patternType="solid">
        <fgColor rgb="FF3057A6"/>
      </patternFill>
    </fill>
    <fill>
      <patternFill patternType="solid">
        <fgColor rgb="FF67DEA3"/>
      </patternFill>
    </fill>
    <fill>
      <patternFill patternType="solid">
        <fgColor rgb="FFCC9C79"/>
      </patternFill>
    </fill>
    <fill>
      <patternFill patternType="solid">
        <fgColor rgb="FFB7E2EA"/>
      </patternFill>
    </fill>
    <fill>
      <patternFill patternType="solid">
        <fgColor rgb="FF30A661"/>
      </patternFill>
    </fill>
    <fill>
      <patternFill patternType="solid">
        <fgColor rgb="FF7070D5"/>
      </patternFill>
    </fill>
    <fill>
      <patternFill patternType="solid">
        <fgColor rgb="FFB620B6"/>
      </patternFill>
    </fill>
    <fill>
      <patternFill patternType="solid">
        <fgColor rgb="FFE362B8"/>
      </patternFill>
    </fill>
    <fill>
      <patternFill patternType="solid">
        <fgColor rgb="FF203864"/>
      </patternFill>
    </fill>
    <fill>
      <patternFill patternType="solid">
        <fgColor rgb="FFF1B0F1"/>
      </patternFill>
    </fill>
    <fill>
      <patternFill patternType="solid">
        <fgColor rgb="FFF1CE55"/>
      </patternFill>
    </fill>
    <fill>
      <patternFill patternType="solid">
        <fgColor rgb="FFC6A710"/>
      </patternFill>
    </fill>
    <fill>
      <patternFill patternType="solid">
        <fgColor rgb="FFB66F20"/>
      </patternFill>
    </fill>
    <fill>
      <patternFill patternType="solid">
        <fgColor rgb="FFF1BD55"/>
      </patternFill>
    </fill>
    <fill>
      <patternFill patternType="solid">
        <fgColor rgb="FFC69310"/>
      </patternFill>
    </fill>
    <fill>
      <patternFill patternType="solid">
        <fgColor rgb="FFB862E3"/>
      </patternFill>
    </fill>
    <fill>
      <patternFill patternType="solid">
        <fgColor rgb="FF7320B6"/>
      </patternFill>
    </fill>
    <fill>
      <patternFill patternType="solid">
        <fgColor rgb="FFEBBDBD"/>
      </patternFill>
    </fill>
    <fill>
      <patternFill patternType="solid">
        <fgColor rgb="FFCDECD2"/>
      </patternFill>
    </fill>
    <fill>
      <patternFill patternType="solid">
        <fgColor rgb="FFE6ABAB"/>
      </patternFill>
    </fill>
    <fill>
      <patternFill patternType="solid">
        <fgColor rgb="FFC5E9CB"/>
      </patternFill>
    </fill>
    <fill>
      <patternFill patternType="solid">
        <fgColor rgb="FFB53434"/>
      </patternFill>
    </fill>
    <fill>
      <patternFill patternType="solid">
        <fgColor rgb="FF40AA52"/>
      </patternFill>
    </fill>
    <fill>
      <patternFill patternType="solid">
        <fgColor rgb="FFCD5555"/>
      </patternFill>
    </fill>
    <fill>
      <patternFill patternType="solid">
        <fgColor rgb="FF60C270"/>
      </patternFill>
    </fill>
    <fill>
      <patternFill patternType="solid">
        <fgColor rgb="FFDA8080"/>
      </patternFill>
    </fill>
    <fill>
      <patternFill patternType="solid">
        <fgColor rgb="FF80CF8D"/>
      </patternFill>
    </fill>
    <fill>
      <patternFill patternType="solid">
        <fgColor rgb="FF64C474"/>
      </patternFill>
    </fill>
    <fill>
      <patternFill patternType="solid">
        <fgColor rgb="FFC84343"/>
      </patternFill>
    </fill>
    <fill>
      <patternFill patternType="solid">
        <fgColor rgb="FF3B9D4C"/>
      </patternFill>
    </fill>
    <fill>
      <patternFill patternType="solid">
        <fgColor rgb="FFADE0B5"/>
      </patternFill>
    </fill>
    <fill>
      <patternFill patternType="solid">
        <fgColor rgb="FFE19A9A"/>
      </patternFill>
    </fill>
    <fill>
      <patternFill patternType="solid">
        <fgColor rgb="FFA5DCAE"/>
      </patternFill>
    </fill>
    <fill>
      <patternFill patternType="solid">
        <fgColor rgb="FFC1E7C7"/>
      </patternFill>
    </fill>
    <fill>
      <patternFill patternType="solid">
        <fgColor rgb="FFF1CECE"/>
      </patternFill>
    </fill>
    <fill>
      <patternFill patternType="solid">
        <fgColor rgb="FFD1EDD6"/>
      </patternFill>
    </fill>
    <fill>
      <patternFill patternType="solid">
        <fgColor rgb="FFD77777"/>
      </patternFill>
    </fill>
    <fill>
      <patternFill patternType="solid">
        <fgColor rgb="FF57BF69"/>
      </patternFill>
    </fill>
    <fill>
      <patternFill patternType="solid">
        <fgColor rgb="FFE9B4B4"/>
      </patternFill>
    </fill>
    <fill>
      <patternFill patternType="solid">
        <fgColor rgb="FFB1E1B9"/>
      </patternFill>
    </fill>
    <fill>
      <patternFill patternType="solid">
        <fgColor rgb="FF88D294"/>
      </patternFill>
    </fill>
    <fill>
      <patternFill patternType="solid">
        <fgColor rgb="FFDF9191"/>
      </patternFill>
    </fill>
    <fill>
      <patternFill patternType="solid">
        <fgColor rgb="FF9DD9A7"/>
      </patternFill>
    </fill>
    <fill>
      <patternFill patternType="solid">
        <fgColor rgb="FFDC8989"/>
      </patternFill>
    </fill>
    <fill>
      <patternFill patternType="solid">
        <fgColor rgb="FFD56F6F"/>
      </patternFill>
    </fill>
    <fill>
      <patternFill patternType="solid">
        <fgColor rgb="FF8A2828"/>
      </patternFill>
    </fill>
    <fill>
      <patternFill patternType="solid">
        <fgColor rgb="FF31813E"/>
      </patternFill>
    </fill>
    <fill>
      <patternFill patternType="solid">
        <fgColor rgb="FF8CD398"/>
      </patternFill>
    </fill>
    <fill>
      <patternFill patternType="solid">
        <fgColor rgb="FF84D091"/>
      </patternFill>
    </fill>
    <fill>
      <patternFill patternType="solid">
        <fgColor rgb="FF42AE54"/>
      </patternFill>
    </fill>
    <fill>
      <patternFill patternType="solid">
        <fgColor rgb="FFB5E3BD"/>
      </patternFill>
    </fill>
    <fill>
      <patternFill patternType="solid">
        <fgColor rgb="FFD05D5D"/>
      </patternFill>
    </fill>
    <fill>
      <patternFill patternType="solid">
        <fgColor rgb="FF3DA14E"/>
      </patternFill>
    </fill>
    <fill>
      <patternFill patternType="solid">
        <fgColor rgb="FFA9DEB2"/>
      </patternFill>
    </fill>
    <fill>
      <patternFill patternType="solid">
        <fgColor rgb="FFE4A3A3"/>
      </patternFill>
    </fill>
    <fill>
      <patternFill patternType="solid">
        <fgColor rgb="FFB9E4C0"/>
      </patternFill>
    </fill>
    <fill>
      <patternFill patternType="solid">
        <fgColor rgb="FF90D59C"/>
      </patternFill>
    </fill>
    <fill>
      <patternFill patternType="solid">
        <fgColor rgb="FFD26666"/>
      </patternFill>
    </fill>
    <fill>
      <patternFill patternType="solid">
        <fgColor rgb="FF68C577"/>
      </patternFill>
    </fill>
    <fill>
      <patternFill patternType="solid">
        <fgColor rgb="FF45B658"/>
      </patternFill>
    </fill>
    <fill>
      <patternFill patternType="solid">
        <fgColor rgb="FF53BE65"/>
      </patternFill>
    </fill>
    <fill>
      <patternFill patternType="solid">
        <fgColor rgb="FF74CA82"/>
      </patternFill>
    </fill>
    <fill>
      <patternFill patternType="solid">
        <fgColor rgb="FFEEC6C6"/>
      </patternFill>
    </fill>
    <fill>
      <patternFill patternType="solid">
        <fgColor rgb="FFC9EA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15" borderId="0" applyAlignment="1" pivotButton="0" quotePrefix="0" xfId="0">
      <alignment horizontal="center" vertical="bottom" textRotation="90"/>
    </xf>
    <xf numFmtId="0" fontId="5" fillId="16" borderId="0" applyAlignment="1" pivotButton="0" quotePrefix="0" xfId="0">
      <alignment horizontal="center" vertical="bottom" textRotation="90"/>
    </xf>
    <xf numFmtId="0" fontId="5" fillId="17" borderId="0" applyAlignment="1" pivotButton="0" quotePrefix="0" xfId="0">
      <alignment horizontal="center" vertical="bottom" textRotation="90"/>
    </xf>
    <xf numFmtId="0" fontId="5" fillId="18" borderId="0" applyAlignment="1" pivotButton="0" quotePrefix="0" xfId="0">
      <alignment horizontal="center" vertical="bottom" textRotation="90"/>
    </xf>
    <xf numFmtId="0" fontId="5" fillId="19" borderId="0" applyAlignment="1" pivotButton="0" quotePrefix="0" xfId="0">
      <alignment horizontal="center" vertical="bottom" textRotation="90"/>
    </xf>
    <xf numFmtId="0" fontId="5" fillId="20" borderId="0" applyAlignment="1" pivotButton="0" quotePrefix="0" xfId="0">
      <alignment horizontal="center" vertical="bottom" textRotation="90"/>
    </xf>
    <xf numFmtId="0" fontId="5" fillId="21" borderId="0" applyAlignment="1" pivotButton="0" quotePrefix="0" xfId="0">
      <alignment horizontal="center" vertical="bottom" textRotation="90"/>
    </xf>
    <xf numFmtId="0" fontId="5" fillId="22" borderId="0" applyAlignment="1" pivotButton="0" quotePrefix="0" xfId="0">
      <alignment horizontal="center" vertical="bottom" textRotation="90"/>
    </xf>
    <xf numFmtId="0" fontId="5" fillId="23" borderId="0" applyAlignment="1" pivotButton="0" quotePrefix="0" xfId="0">
      <alignment horizontal="center" vertical="bottom" textRotation="90"/>
    </xf>
    <xf numFmtId="0" fontId="5" fillId="24" borderId="0" applyAlignment="1" pivotButton="0" quotePrefix="0" xfId="0">
      <alignment horizontal="center" vertical="bottom" textRotation="90"/>
    </xf>
    <xf numFmtId="0" fontId="5" fillId="25" borderId="0" applyAlignment="1" pivotButton="0" quotePrefix="0" xfId="0">
      <alignment horizontal="center" vertical="bottom" textRotation="90"/>
    </xf>
    <xf numFmtId="0" fontId="5" fillId="26" borderId="0" applyAlignment="1" pivotButton="0" quotePrefix="0" xfId="0">
      <alignment horizontal="center" vertical="bottom" textRotation="90"/>
    </xf>
    <xf numFmtId="0" fontId="5" fillId="27" borderId="0" applyAlignment="1" pivotButton="0" quotePrefix="0" xfId="0">
      <alignment horizontal="center" vertical="bottom" textRotation="90"/>
    </xf>
    <xf numFmtId="0" fontId="5" fillId="28" borderId="0" applyAlignment="1" pivotButton="0" quotePrefix="0" xfId="0">
      <alignment horizontal="center" vertical="bottom" textRotation="90"/>
    </xf>
    <xf numFmtId="0" fontId="5" fillId="29" borderId="0" applyAlignment="1" pivotButton="0" quotePrefix="0" xfId="0">
      <alignment horizontal="center" vertical="bottom" textRotation="90"/>
    </xf>
    <xf numFmtId="0" fontId="5" fillId="30" borderId="0" applyAlignment="1" pivotButton="0" quotePrefix="0" xfId="0">
      <alignment horizontal="center" vertical="bottom" textRotation="90"/>
    </xf>
    <xf numFmtId="0" fontId="5" fillId="31" borderId="0" applyAlignment="1" pivotButton="0" quotePrefix="0" xfId="0">
      <alignment horizontal="center" vertical="bottom" textRotation="90"/>
    </xf>
    <xf numFmtId="0" fontId="5" fillId="32" borderId="0" applyAlignment="1" pivotButton="0" quotePrefix="0" xfId="0">
      <alignment horizontal="center" vertical="bottom" textRotation="90"/>
    </xf>
    <xf numFmtId="0" fontId="5" fillId="33" borderId="0" applyAlignment="1" pivotButton="0" quotePrefix="0" xfId="0">
      <alignment horizontal="center" vertical="bottom" textRotation="90"/>
    </xf>
    <xf numFmtId="0" fontId="5" fillId="34" borderId="0" applyAlignment="1" pivotButton="0" quotePrefix="0" xfId="0">
      <alignment horizontal="center" vertical="bottom" textRotation="90"/>
    </xf>
    <xf numFmtId="0" fontId="5" fillId="35" borderId="0" applyAlignment="1" pivotButton="0" quotePrefix="0" xfId="0">
      <alignment horizontal="center" vertical="bottom" textRotation="90"/>
    </xf>
    <xf numFmtId="0" fontId="5" fillId="36" borderId="0" applyAlignment="1" pivotButton="0" quotePrefix="0" xfId="0">
      <alignment horizontal="center" vertical="bottom" textRotation="90"/>
    </xf>
    <xf numFmtId="0" fontId="5" fillId="37" borderId="0" applyAlignment="1" pivotButton="0" quotePrefix="0" xfId="0">
      <alignment horizontal="center" vertical="bottom" textRotation="90"/>
    </xf>
    <xf numFmtId="0" fontId="5" fillId="38" borderId="0" applyAlignment="1" pivotButton="0" quotePrefix="0" xfId="0">
      <alignment horizontal="center" vertical="bottom" textRotation="90"/>
    </xf>
    <xf numFmtId="0" fontId="5" fillId="39" borderId="0" applyAlignment="1" pivotButton="0" quotePrefix="0" xfId="0">
      <alignment horizontal="center" vertical="bottom" textRotation="90"/>
    </xf>
    <xf numFmtId="0" fontId="5" fillId="40" borderId="0" applyAlignment="1" pivotButton="0" quotePrefix="0" xfId="0">
      <alignment horizontal="center" vertical="bottom" textRotation="90"/>
    </xf>
    <xf numFmtId="0" fontId="5" fillId="41" borderId="0" applyAlignment="1" pivotButton="0" quotePrefix="0" xfId="0">
      <alignment horizontal="center" vertical="bottom" textRotation="90"/>
    </xf>
    <xf numFmtId="0" fontId="5" fillId="42" borderId="0" applyAlignment="1" pivotButton="0" quotePrefix="0" xfId="0">
      <alignment horizontal="center" vertical="bottom" textRotation="90"/>
    </xf>
    <xf numFmtId="0" fontId="5" fillId="43" borderId="0" applyAlignment="1" pivotButton="0" quotePrefix="0" xfId="0">
      <alignment horizontal="center" vertical="bottom" textRotation="90"/>
    </xf>
    <xf numFmtId="0" fontId="5" fillId="44" borderId="0" applyAlignment="1" pivotButton="0" quotePrefix="0" xfId="0">
      <alignment horizontal="center" vertical="bottom" textRotation="90"/>
    </xf>
    <xf numFmtId="0" fontId="5" fillId="45" borderId="0" applyAlignment="1" pivotButton="0" quotePrefix="0" xfId="0">
      <alignment horizontal="center" vertical="bottom" textRotation="90"/>
    </xf>
    <xf numFmtId="0" fontId="5" fillId="46" borderId="0" applyAlignment="1" pivotButton="0" quotePrefix="0" xfId="0">
      <alignment horizontal="center" vertical="bottom" textRotation="90"/>
    </xf>
    <xf numFmtId="0" fontId="5" fillId="47" borderId="0" applyAlignment="1" pivotButton="0" quotePrefix="0" xfId="0">
      <alignment horizontal="center" vertical="bottom" textRotation="90"/>
    </xf>
    <xf numFmtId="0" fontId="5" fillId="48" borderId="0" applyAlignment="1" pivotButton="0" quotePrefix="0" xfId="0">
      <alignment horizontal="center" vertical="bottom" textRotation="90"/>
    </xf>
    <xf numFmtId="0" fontId="5" fillId="49" borderId="0" applyAlignment="1" pivotButton="0" quotePrefix="0" xfId="0">
      <alignment horizontal="center" vertical="bottom" textRotation="90"/>
    </xf>
    <xf numFmtId="0" fontId="5" fillId="50" borderId="0" applyAlignment="1" pivotButton="0" quotePrefix="0" xfId="0">
      <alignment horizontal="center" vertical="bottom" textRotation="90"/>
    </xf>
    <xf numFmtId="0" fontId="5" fillId="51" borderId="0" applyAlignment="1" pivotButton="0" quotePrefix="0" xfId="0">
      <alignment horizontal="center" vertical="bottom" textRotation="90"/>
    </xf>
    <xf numFmtId="0" fontId="5" fillId="52" borderId="0" applyAlignment="1" pivotButton="0" quotePrefix="0" xfId="0">
      <alignment horizontal="center" vertical="bottom" textRotation="90"/>
    </xf>
    <xf numFmtId="0" fontId="5" fillId="53" borderId="0" applyAlignment="1" pivotButton="0" quotePrefix="0" xfId="0">
      <alignment horizontal="center" vertical="bottom" textRotation="90"/>
    </xf>
    <xf numFmtId="0" fontId="5" fillId="54" borderId="0" applyAlignment="1" pivotButton="0" quotePrefix="0" xfId="0">
      <alignment horizontal="center" vertical="bottom" textRotation="90"/>
    </xf>
    <xf numFmtId="0" fontId="5" fillId="55" borderId="0" applyAlignment="1" pivotButton="0" quotePrefix="0" xfId="0">
      <alignment horizontal="center" vertical="bottom" textRotation="90"/>
    </xf>
    <xf numFmtId="0" fontId="5" fillId="56" borderId="0" applyAlignment="1" pivotButton="0" quotePrefix="0" xfId="0">
      <alignment horizontal="center" vertical="bottom" textRotation="90"/>
    </xf>
    <xf numFmtId="0" fontId="5" fillId="57" borderId="0" applyAlignment="1" pivotButton="0" quotePrefix="0" xfId="0">
      <alignment horizontal="center" vertical="bottom" textRotation="90"/>
    </xf>
    <xf numFmtId="0" fontId="5" fillId="58" borderId="0" applyAlignment="1" pivotButton="0" quotePrefix="0" xfId="0">
      <alignment horizontal="center" vertical="bottom" textRotation="90"/>
    </xf>
    <xf numFmtId="0" fontId="5" fillId="59" borderId="0" applyAlignment="1" pivotButton="0" quotePrefix="0" xfId="0">
      <alignment horizontal="center" vertical="bottom" textRotation="90"/>
    </xf>
    <xf numFmtId="0" fontId="5" fillId="60" borderId="0" applyAlignment="1" pivotButton="0" quotePrefix="0" xfId="0">
      <alignment horizontal="center" vertical="bottom" textRotation="90"/>
    </xf>
    <xf numFmtId="0" fontId="5" fillId="61" borderId="0" applyAlignment="1" pivotButton="0" quotePrefix="0" xfId="0">
      <alignment horizontal="center" vertical="bottom" textRotation="90"/>
    </xf>
    <xf numFmtId="0" fontId="5" fillId="62" borderId="0" applyAlignment="1" pivotButton="0" quotePrefix="0" xfId="0">
      <alignment horizontal="center" vertical="bottom" textRotation="90"/>
    </xf>
    <xf numFmtId="0" fontId="5" fillId="63" borderId="0" applyAlignment="1" pivotButton="0" quotePrefix="0" xfId="0">
      <alignment horizontal="center" vertical="bottom" textRotation="90"/>
    </xf>
    <xf numFmtId="0" fontId="5" fillId="64" borderId="0" applyAlignment="1" pivotButton="0" quotePrefix="0" xfId="0">
      <alignment horizontal="center" vertical="bottom" textRotation="90"/>
    </xf>
    <xf numFmtId="0" fontId="5" fillId="65" borderId="0" applyAlignment="1" pivotButton="0" quotePrefix="0" xfId="0">
      <alignment horizontal="center" vertical="bottom" textRotation="90"/>
    </xf>
    <xf numFmtId="0" fontId="5" fillId="66" borderId="0" applyAlignment="1" pivotButton="0" quotePrefix="0" xfId="0">
      <alignment horizontal="center" vertical="bottom" textRotation="90"/>
    </xf>
    <xf numFmtId="0" fontId="5" fillId="67" borderId="0" applyAlignment="1" pivotButton="0" quotePrefix="0" xfId="0">
      <alignment horizontal="center" vertical="bottom" textRotation="90"/>
    </xf>
    <xf numFmtId="0" fontId="5" fillId="68" borderId="0" applyAlignment="1" pivotButton="0" quotePrefix="0" xfId="0">
      <alignment horizontal="center" vertical="bottom" textRotation="90"/>
    </xf>
    <xf numFmtId="0" fontId="6" fillId="69" borderId="0" applyAlignment="1" pivotButton="0" quotePrefix="0" xfId="0">
      <alignment horizontal="center" vertical="center"/>
    </xf>
    <xf numFmtId="0" fontId="6" fillId="70" borderId="0" applyAlignment="1" pivotButton="0" quotePrefix="0" xfId="0">
      <alignment horizontal="center" vertical="center"/>
    </xf>
    <xf numFmtId="0" fontId="2" fillId="71" borderId="0" applyAlignment="1" pivotButton="0" quotePrefix="0" xfId="0">
      <alignment horizontal="center" vertical="center"/>
    </xf>
    <xf numFmtId="0" fontId="6" fillId="72" borderId="0" applyAlignment="1" pivotButton="0" quotePrefix="0" xfId="0">
      <alignment horizontal="center" vertical="center"/>
    </xf>
    <xf numFmtId="0" fontId="2" fillId="73" borderId="0" applyAlignment="1" pivotButton="0" quotePrefix="0" xfId="0">
      <alignment horizontal="center" vertical="center"/>
    </xf>
    <xf numFmtId="0" fontId="6" fillId="74" borderId="0" applyAlignment="1" pivotButton="0" quotePrefix="0" xfId="0">
      <alignment horizontal="center" vertical="center"/>
    </xf>
    <xf numFmtId="0" fontId="2" fillId="75" borderId="0" applyAlignment="1" pivotButton="0" quotePrefix="0" xfId="0">
      <alignment horizontal="center" vertical="center"/>
    </xf>
    <xf numFmtId="0" fontId="6" fillId="76" borderId="0" applyAlignment="1" pivotButton="0" quotePrefix="0" xfId="0">
      <alignment horizontal="center" vertical="center"/>
    </xf>
    <xf numFmtId="0" fontId="2" fillId="77" borderId="0" applyAlignment="1" pivotButton="0" quotePrefix="0" xfId="0">
      <alignment horizontal="center" vertical="center"/>
    </xf>
    <xf numFmtId="0" fontId="2" fillId="78" borderId="0" applyAlignment="1" pivotButton="0" quotePrefix="0" xfId="0">
      <alignment horizontal="center" vertical="center"/>
    </xf>
    <xf numFmtId="0" fontId="2" fillId="79" borderId="0" applyAlignment="1" pivotButton="0" quotePrefix="0" xfId="0">
      <alignment horizontal="center" vertical="center"/>
    </xf>
    <xf numFmtId="0" fontId="0" fillId="80" borderId="0" applyAlignment="1" pivotButton="0" quotePrefix="0" xfId="0">
      <alignment horizontal="left" vertical="center" wrapText="1"/>
    </xf>
    <xf numFmtId="0" fontId="0" fillId="80" borderId="0" pivotButton="0" quotePrefix="0" xfId="0"/>
    <xf numFmtId="0" fontId="6" fillId="81" borderId="0" applyAlignment="1" pivotButton="0" quotePrefix="0" xfId="0">
      <alignment horizontal="center" vertical="center"/>
    </xf>
    <xf numFmtId="0" fontId="2" fillId="82" borderId="0" applyAlignment="1" pivotButton="0" quotePrefix="0" xfId="0">
      <alignment horizontal="center" vertical="center"/>
    </xf>
    <xf numFmtId="0" fontId="2" fillId="83" borderId="0" applyAlignment="1" pivotButton="0" quotePrefix="0" xfId="0">
      <alignment horizontal="center" vertical="center"/>
    </xf>
    <xf numFmtId="0" fontId="2" fillId="84" borderId="0" applyAlignment="1" pivotButton="0" quotePrefix="0" xfId="0">
      <alignment horizontal="center" vertical="center"/>
    </xf>
    <xf numFmtId="0" fontId="6" fillId="85" borderId="0" applyAlignment="1" pivotButton="0" quotePrefix="0" xfId="0">
      <alignment horizontal="center" vertical="center"/>
    </xf>
    <xf numFmtId="0" fontId="6" fillId="86" borderId="0" applyAlignment="1" pivotButton="0" quotePrefix="0" xfId="0">
      <alignment horizontal="center" vertical="center"/>
    </xf>
    <xf numFmtId="0" fontId="2" fillId="87" borderId="0" applyAlignment="1" pivotButton="0" quotePrefix="0" xfId="0">
      <alignment horizontal="center" vertical="center"/>
    </xf>
    <xf numFmtId="0" fontId="6" fillId="88" borderId="0" applyAlignment="1" pivotButton="0" quotePrefix="0" xfId="0">
      <alignment horizontal="center" vertical="center"/>
    </xf>
    <xf numFmtId="0" fontId="2" fillId="89" borderId="0" applyAlignment="1" pivotButton="0" quotePrefix="0" xfId="0">
      <alignment horizontal="center" vertical="center"/>
    </xf>
    <xf numFmtId="0" fontId="2" fillId="90" borderId="0" applyAlignment="1" pivotButton="0" quotePrefix="0" xfId="0">
      <alignment horizontal="center" vertical="center"/>
    </xf>
    <xf numFmtId="0" fontId="6" fillId="91" borderId="0" applyAlignment="1" pivotButton="0" quotePrefix="0" xfId="0">
      <alignment horizontal="center" vertical="center"/>
    </xf>
    <xf numFmtId="0" fontId="2" fillId="92" borderId="0" applyAlignment="1" pivotButton="0" quotePrefix="0" xfId="0">
      <alignment horizontal="center" vertical="center"/>
    </xf>
    <xf numFmtId="0" fontId="2" fillId="93" borderId="0" applyAlignment="1" pivotButton="0" quotePrefix="0" xfId="0">
      <alignment horizontal="center" vertical="center"/>
    </xf>
    <xf numFmtId="0" fontId="2" fillId="94" borderId="0" applyAlignment="1" pivotButton="0" quotePrefix="0" xfId="0">
      <alignment horizontal="center" vertical="center"/>
    </xf>
    <xf numFmtId="0" fontId="2" fillId="95" borderId="0" applyAlignment="1" pivotButton="0" quotePrefix="0" xfId="0">
      <alignment horizontal="center" vertical="center"/>
    </xf>
    <xf numFmtId="0" fontId="2" fillId="96" borderId="0" applyAlignment="1" pivotButton="0" quotePrefix="0" xfId="0">
      <alignment horizontal="left" vertical="center" wrapText="1"/>
    </xf>
    <xf numFmtId="0" fontId="2" fillId="97" borderId="0" applyAlignment="1" pivotButton="0" quotePrefix="0" xfId="0">
      <alignment horizontal="center" vertical="center"/>
    </xf>
    <xf numFmtId="0" fontId="2" fillId="98" borderId="0" applyAlignment="1" pivotButton="0" quotePrefix="0" xfId="0">
      <alignment horizontal="center" vertical="center"/>
    </xf>
    <xf numFmtId="0" fontId="6" fillId="99" borderId="0" applyAlignment="1" pivotButton="0" quotePrefix="0" xfId="0">
      <alignment horizontal="center" vertical="center"/>
    </xf>
    <xf numFmtId="0" fontId="2" fillId="100" borderId="0" applyAlignment="1" pivotButton="0" quotePrefix="0" xfId="0">
      <alignment horizontal="center" vertical="center"/>
    </xf>
    <xf numFmtId="0" fontId="6" fillId="101" borderId="0" applyAlignment="1" pivotButton="0" quotePrefix="0" xfId="0">
      <alignment horizontal="center" vertical="center"/>
    </xf>
    <xf numFmtId="0" fontId="6" fillId="102" borderId="0" applyAlignment="1" pivotButton="0" quotePrefix="0" xfId="0">
      <alignment horizontal="center" vertical="center"/>
    </xf>
    <xf numFmtId="0" fontId="2" fillId="103" borderId="0" applyAlignment="1" pivotButton="0" quotePrefix="0" xfId="0">
      <alignment horizontal="center" vertical="center"/>
    </xf>
    <xf numFmtId="0" fontId="6" fillId="104" borderId="0" applyAlignment="1" pivotButton="0" quotePrefix="0" xfId="0">
      <alignment horizontal="center" vertical="center"/>
    </xf>
    <xf numFmtId="0" fontId="6" fillId="105" borderId="0" applyAlignment="1" pivotButton="0" quotePrefix="0" xfId="0">
      <alignment horizontal="center" vertical="center"/>
    </xf>
    <xf numFmtId="0" fontId="6" fillId="106" borderId="0" applyAlignment="1" pivotButton="0" quotePrefix="0" xfId="0">
      <alignment horizontal="center" vertical="center"/>
    </xf>
    <xf numFmtId="0" fontId="6" fillId="107" borderId="0" applyAlignment="1" pivotButton="0" quotePrefix="0" xfId="0">
      <alignment horizontal="center" vertical="center"/>
    </xf>
    <xf numFmtId="0" fontId="2" fillId="108" borderId="0" applyAlignment="1" pivotButton="0" quotePrefix="0" xfId="0">
      <alignment horizontal="center" vertical="center"/>
    </xf>
    <xf numFmtId="0" fontId="2" fillId="109" borderId="0" applyAlignment="1" pivotButton="0" quotePrefix="0" xfId="0">
      <alignment horizontal="center" vertical="center"/>
    </xf>
    <xf numFmtId="0" fontId="2" fillId="110" borderId="0" applyAlignment="1" pivotButton="0" quotePrefix="0" xfId="0">
      <alignment horizontal="center" vertical="center"/>
    </xf>
    <xf numFmtId="0" fontId="2" fillId="111" borderId="0" applyAlignment="1" pivotButton="0" quotePrefix="0" xfId="0">
      <alignment horizontal="center" vertical="center"/>
    </xf>
    <xf numFmtId="0" fontId="6" fillId="112" borderId="0" applyAlignment="1" pivotButton="0" quotePrefix="0" xfId="0">
      <alignment horizontal="center" vertical="center"/>
    </xf>
    <xf numFmtId="0" fontId="2" fillId="113" borderId="0" applyAlignment="1" pivotButton="0" quotePrefix="0" xfId="0">
      <alignment horizontal="center" vertical="center"/>
    </xf>
    <xf numFmtId="0" fontId="2" fillId="114" borderId="0" applyAlignment="1" pivotButton="0" quotePrefix="0" xfId="0">
      <alignment horizontal="center" vertical="center"/>
    </xf>
    <xf numFmtId="0" fontId="2" fillId="115" borderId="0" applyAlignment="1" pivotButton="0" quotePrefix="0" xfId="0">
      <alignment horizontal="center" vertical="center"/>
    </xf>
    <xf numFmtId="0" fontId="2" fillId="116" borderId="0" applyAlignment="1" pivotButton="0" quotePrefix="0" xfId="0">
      <alignment horizontal="center" vertical="center"/>
    </xf>
    <xf numFmtId="0" fontId="6" fillId="117" borderId="0" applyAlignment="1" pivotButton="0" quotePrefix="0" xfId="0">
      <alignment horizontal="center" vertical="center"/>
    </xf>
    <xf numFmtId="0" fontId="6" fillId="118" borderId="0" applyAlignment="1" pivotButton="0" quotePrefix="0" xfId="0">
      <alignment horizontal="center" vertical="center"/>
    </xf>
    <xf numFmtId="0" fontId="6" fillId="119" borderId="0" applyAlignment="1" pivotButton="0" quotePrefix="0" xfId="0">
      <alignment horizontal="center" vertical="center"/>
    </xf>
    <xf numFmtId="0" fontId="6" fillId="120" borderId="0" applyAlignment="1" pivotButton="0" quotePrefix="0" xfId="0">
      <alignment horizontal="center" vertical="center"/>
    </xf>
    <xf numFmtId="0" fontId="6" fillId="121" borderId="0" applyAlignment="1" pivotButton="0" quotePrefix="0" xfId="0">
      <alignment horizontal="center" vertical="center"/>
    </xf>
    <xf numFmtId="0" fontId="6" fillId="122" borderId="0" applyAlignment="1" pivotButton="0" quotePrefix="0" xfId="0">
      <alignment horizontal="center" vertical="center"/>
    </xf>
    <xf numFmtId="0" fontId="6" fillId="123" borderId="0" applyAlignment="1" pivotButton="0" quotePrefix="0" xfId="0">
      <alignment horizontal="center" vertical="center"/>
    </xf>
    <xf numFmtId="0" fontId="6" fillId="124" borderId="0" applyAlignment="1" pivotButton="0" quotePrefix="0" xfId="0">
      <alignment horizontal="center" vertical="center"/>
    </xf>
    <xf numFmtId="0" fontId="6" fillId="125" borderId="0" applyAlignment="1" pivotButton="0" quotePrefix="0" xfId="0">
      <alignment horizontal="center" vertical="center"/>
    </xf>
    <xf numFmtId="0" fontId="6" fillId="126" borderId="0" applyAlignment="1" pivotButton="0" quotePrefix="0" xfId="0">
      <alignment horizontal="center" vertical="center"/>
    </xf>
    <xf numFmtId="0" fontId="2" fillId="127" borderId="0" applyAlignment="1" pivotButton="0" quotePrefix="0" xfId="0">
      <alignment horizontal="center" vertical="center"/>
    </xf>
    <xf numFmtId="0" fontId="6" fillId="128" borderId="0" applyAlignment="1" pivotButton="0" quotePrefix="0" xfId="0">
      <alignment horizontal="center" vertical="center"/>
    </xf>
    <xf numFmtId="0" fontId="6" fillId="129" borderId="0" applyAlignment="1" pivotButton="0" quotePrefix="0" xfId="0">
      <alignment horizontal="center" vertical="center"/>
    </xf>
    <xf numFmtId="0" fontId="6" fillId="130" borderId="0" applyAlignment="1" pivotButton="0" quotePrefix="0" xfId="0">
      <alignment horizontal="center" vertical="center"/>
    </xf>
    <xf numFmtId="0" fontId="6" fillId="131" borderId="0" applyAlignment="1" pivotButton="0" quotePrefix="0" xfId="0">
      <alignment horizontal="center" vertical="center"/>
    </xf>
    <xf numFmtId="0" fontId="6" fillId="132" borderId="0" applyAlignment="1" pivotButton="0" quotePrefix="0" xfId="0">
      <alignment horizontal="center" vertical="center"/>
    </xf>
    <xf numFmtId="0" fontId="6" fillId="133" borderId="0" applyAlignment="1" pivotButton="0" quotePrefix="0" xfId="0">
      <alignment horizontal="center" vertical="center"/>
    </xf>
    <xf numFmtId="0" fontId="6" fillId="134" borderId="0" applyAlignment="1" pivotButton="0" quotePrefix="0" xfId="0">
      <alignment horizontal="center" vertical="center"/>
    </xf>
    <xf numFmtId="0" fontId="2" fillId="135" borderId="0" applyAlignment="1" pivotButton="0" quotePrefix="0" xfId="0">
      <alignment horizontal="center" vertical="center"/>
    </xf>
    <xf numFmtId="0" fontId="2" fillId="136" borderId="0" applyAlignment="1" pivotButton="0" quotePrefix="0" xfId="0">
      <alignment horizontal="center" vertical="center"/>
    </xf>
    <xf numFmtId="0" fontId="2" fillId="137" borderId="0" applyAlignment="1" pivotButton="0" quotePrefix="0" xfId="0">
      <alignment horizontal="center" vertical="center"/>
    </xf>
    <xf numFmtId="0" fontId="6" fillId="138" borderId="0" applyAlignment="1" pivotButton="0" quotePrefix="0" xfId="0">
      <alignment horizontal="center" vertical="center"/>
    </xf>
    <xf numFmtId="0" fontId="2" fillId="139" borderId="0" applyAlignment="1" pivotButton="0" quotePrefix="0" xfId="0">
      <alignment horizontal="center" vertical="center"/>
    </xf>
    <xf numFmtId="0" fontId="2" fillId="140" borderId="0" applyAlignment="1" pivotButton="0" quotePrefix="0" xfId="0">
      <alignment horizontal="center" vertical="center"/>
    </xf>
    <xf numFmtId="0" fontId="6" fillId="141" borderId="0" applyAlignment="1" pivotButton="0" quotePrefix="0" xfId="0">
      <alignment horizontal="center" vertical="center"/>
    </xf>
    <xf numFmtId="0" fontId="2" fillId="142" borderId="0" applyAlignment="1" pivotButton="0" quotePrefix="0" xfId="0">
      <alignment horizontal="center" vertical="center"/>
    </xf>
    <xf numFmtId="0" fontId="6" fillId="143" borderId="0" applyAlignment="1" pivotButton="0" quotePrefix="0" xfId="0">
      <alignment horizontal="center" vertical="center"/>
    </xf>
    <xf numFmtId="0" fontId="6" fillId="144" borderId="0" applyAlignment="1" pivotButton="0" quotePrefix="0" xfId="0">
      <alignment horizontal="center" vertical="center"/>
    </xf>
    <xf numFmtId="0" fontId="6" fillId="145" borderId="0" applyAlignment="1" pivotButton="0" quotePrefix="0" xfId="0">
      <alignment horizontal="center" vertical="center"/>
    </xf>
    <xf numFmtId="0" fontId="2" fillId="146" borderId="0" applyAlignment="1" pivotButton="0" quotePrefix="0" xfId="0">
      <alignment horizontal="center" vertical="center"/>
    </xf>
    <xf numFmtId="0" fontId="6" fillId="147" borderId="0" applyAlignment="1" pivotButton="0" quotePrefix="0" xfId="0">
      <alignment horizontal="center" vertical="center"/>
    </xf>
    <xf numFmtId="0" fontId="2" fillId="148" borderId="0" applyAlignment="1" pivotButton="0" quotePrefix="0" xfId="0">
      <alignment horizontal="center" vertical="center"/>
    </xf>
    <xf numFmtId="0" fontId="6" fillId="149" borderId="0" applyAlignment="1" pivotButton="0" quotePrefix="0" xfId="0">
      <alignment horizontal="center" vertical="center"/>
    </xf>
    <xf numFmtId="0" fontId="7" fillId="150" borderId="0" applyAlignment="1" pivotButton="0" quotePrefix="0" xfId="0">
      <alignment horizontal="left" vertical="center" wrapText="1"/>
    </xf>
    <xf numFmtId="0" fontId="6" fillId="151" borderId="0" applyAlignment="1" pivotButton="0" quotePrefix="0" xfId="0">
      <alignment horizontal="center" vertical="center"/>
    </xf>
    <xf numFmtId="0" fontId="6" fillId="152" borderId="0" applyAlignment="1" pivotButton="0" quotePrefix="0" xfId="0">
      <alignment horizontal="center" vertical="center"/>
    </xf>
    <xf numFmtId="0" fontId="2" fillId="153" borderId="0" applyAlignment="1" pivotButton="0" quotePrefix="0" xfId="0">
      <alignment horizontal="center" vertical="center"/>
    </xf>
    <xf numFmtId="0" fontId="2" fillId="154" borderId="0" applyAlignment="1" pivotButton="0" quotePrefix="0" xfId="0">
      <alignment horizontal="center" vertical="center"/>
    </xf>
    <xf numFmtId="0" fontId="6" fillId="155" borderId="0" applyAlignment="1" pivotButton="0" quotePrefix="0" xfId="0">
      <alignment horizontal="center" vertical="center"/>
    </xf>
    <xf numFmtId="0" fontId="2" fillId="156" borderId="0" applyAlignment="1" pivotButton="0" quotePrefix="0" xfId="0">
      <alignment horizontal="center" vertical="center"/>
    </xf>
    <xf numFmtId="0" fontId="6" fillId="157" borderId="0" applyAlignment="1" pivotButton="0" quotePrefix="0" xfId="0">
      <alignment horizontal="center" vertical="center"/>
    </xf>
    <xf numFmtId="0" fontId="2" fillId="158" borderId="0" applyAlignment="1" pivotButton="0" quotePrefix="0" xfId="0">
      <alignment horizontal="center" vertical="center"/>
    </xf>
    <xf numFmtId="0" fontId="8" fillId="0" borderId="0" pivotButton="0" quotePrefix="0" xfId="0"/>
    <xf numFmtId="0" fontId="0" fillId="159" borderId="0" applyAlignment="1" pivotButton="0" quotePrefix="0" xfId="0">
      <alignment horizontal="center" vertical="center"/>
    </xf>
    <xf numFmtId="0" fontId="0" fillId="161" borderId="0" applyAlignment="1" pivotButton="0" quotePrefix="0" xfId="0">
      <alignment horizontal="center" vertical="center"/>
    </xf>
    <xf numFmtId="0" fontId="8" fillId="163" borderId="0" applyAlignment="1" pivotButton="0" quotePrefix="0" xfId="0">
      <alignment horizontal="center" vertical="center"/>
    </xf>
    <xf numFmtId="0" fontId="0" fillId="165" borderId="0" applyAlignment="1" pivotButton="0" quotePrefix="0" xfId="0">
      <alignment horizontal="center" vertical="center"/>
    </xf>
    <xf numFmtId="0" fontId="0" fillId="167" borderId="0" applyAlignment="1" pivotButton="0" quotePrefix="0" xfId="0">
      <alignment horizontal="center" vertical="center"/>
    </xf>
    <xf numFmtId="0" fontId="0" fillId="170" borderId="0" applyAlignment="1" pivotButton="0" quotePrefix="0" xfId="0">
      <alignment horizontal="center" vertical="center"/>
    </xf>
    <xf numFmtId="0" fontId="0" fillId="173" borderId="0" applyAlignment="1" pivotButton="0" quotePrefix="0" xfId="0">
      <alignment horizontal="center" vertical="center"/>
    </xf>
    <xf numFmtId="0" fontId="0" fillId="176" borderId="0" applyAlignment="1" pivotButton="0" quotePrefix="0" xfId="0">
      <alignment horizontal="center" vertical="center"/>
    </xf>
    <xf numFmtId="0" fontId="0" fillId="178" borderId="0" applyAlignment="1" pivotButton="0" quotePrefix="0" xfId="0">
      <alignment horizontal="center" vertical="center"/>
    </xf>
    <xf numFmtId="0" fontId="0" fillId="180" borderId="0" applyAlignment="1" pivotButton="0" quotePrefix="0" xfId="0">
      <alignment horizontal="center" vertical="center"/>
    </xf>
    <xf numFmtId="0" fontId="0" fillId="183" borderId="0" applyAlignment="1" pivotButton="0" quotePrefix="0" xfId="0">
      <alignment horizontal="center" vertical="center"/>
    </xf>
    <xf numFmtId="0" fontId="0" fillId="185" borderId="0" applyAlignment="1" pivotButton="0" quotePrefix="0" xfId="0">
      <alignment horizontal="center" vertical="center"/>
    </xf>
    <xf numFmtId="0" fontId="0" fillId="186" borderId="0" applyAlignment="1" pivotButton="0" quotePrefix="0" xfId="0">
      <alignment horizontal="center" vertical="center"/>
    </xf>
    <xf numFmtId="0" fontId="8" fillId="187" borderId="0" applyAlignment="1" pivotButton="0" quotePrefix="0" xfId="0">
      <alignment horizontal="center" vertical="center"/>
    </xf>
    <xf numFmtId="0" fontId="0" fillId="193" borderId="0" applyAlignment="1" pivotButton="0" quotePrefix="0" xfId="0">
      <alignment horizontal="center" vertical="center"/>
    </xf>
    <xf numFmtId="0" fontId="0" fillId="196" borderId="0" applyAlignment="1" pivotButton="0" quotePrefix="0" xfId="0">
      <alignment horizontal="center" vertical="center"/>
    </xf>
    <xf numFmtId="0" fontId="0" fillId="199" borderId="0" applyAlignment="1" pivotButton="0" quotePrefix="0" xfId="0">
      <alignment horizontal="center" vertical="center"/>
    </xf>
    <xf numFmtId="0" fontId="0" fillId="20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0" fillId="160" borderId="0" applyAlignment="1" pivotButton="0" quotePrefix="0" xfId="0">
      <alignment horizontal="center" vertical="center"/>
    </xf>
    <xf numFmtId="0" fontId="0" fillId="162" borderId="0" applyAlignment="1" pivotButton="0" quotePrefix="0" xfId="0">
      <alignment horizontal="center" vertical="center"/>
    </xf>
    <xf numFmtId="0" fontId="8" fillId="164" borderId="0" applyAlignment="1" pivotButton="0" quotePrefix="0" xfId="0">
      <alignment horizontal="center" vertical="center"/>
    </xf>
    <xf numFmtId="0" fontId="0" fillId="166" borderId="0" applyAlignment="1" pivotButton="0" quotePrefix="0" xfId="0">
      <alignment horizontal="center" vertical="center"/>
    </xf>
    <xf numFmtId="0" fontId="0" fillId="168" borderId="0" applyAlignment="1" pivotButton="0" quotePrefix="0" xfId="0">
      <alignment horizontal="center" vertical="center"/>
    </xf>
    <xf numFmtId="0" fontId="0" fillId="169" borderId="0" applyAlignment="1" pivotButton="0" quotePrefix="0" xfId="0">
      <alignment horizontal="center" vertical="center"/>
    </xf>
    <xf numFmtId="0" fontId="8" fillId="171" borderId="0" applyAlignment="1" pivotButton="0" quotePrefix="0" xfId="0">
      <alignment horizontal="center" vertical="center"/>
    </xf>
    <xf numFmtId="0" fontId="0" fillId="172" borderId="0" applyAlignment="1" pivotButton="0" quotePrefix="0" xfId="0">
      <alignment horizontal="center" vertical="center"/>
    </xf>
    <xf numFmtId="0" fontId="0" fillId="174" borderId="0" applyAlignment="1" pivotButton="0" quotePrefix="0" xfId="0">
      <alignment horizontal="center" vertical="center"/>
    </xf>
    <xf numFmtId="0" fontId="0" fillId="175" borderId="0" applyAlignment="1" pivotButton="0" quotePrefix="0" xfId="0">
      <alignment horizontal="center" vertical="center"/>
    </xf>
    <xf numFmtId="0" fontId="0" fillId="177" borderId="0" applyAlignment="1" pivotButton="0" quotePrefix="0" xfId="0">
      <alignment horizontal="center" vertical="center"/>
    </xf>
    <xf numFmtId="0" fontId="0" fillId="179" borderId="0" applyAlignment="1" pivotButton="0" quotePrefix="0" xfId="0">
      <alignment horizontal="center" vertical="center"/>
    </xf>
    <xf numFmtId="0" fontId="0" fillId="181" borderId="0" applyAlignment="1" pivotButton="0" quotePrefix="0" xfId="0">
      <alignment horizontal="center" vertical="center"/>
    </xf>
    <xf numFmtId="0" fontId="0" fillId="182" borderId="0" applyAlignment="1" pivotButton="0" quotePrefix="0" xfId="0">
      <alignment horizontal="center" vertical="center"/>
    </xf>
    <xf numFmtId="0" fontId="0" fillId="184" borderId="0" applyAlignment="1" pivotButton="0" quotePrefix="0" xfId="0">
      <alignment horizontal="center" vertical="center"/>
    </xf>
    <xf numFmtId="0" fontId="8" fillId="188" borderId="0" applyAlignment="1" pivotButton="0" quotePrefix="0" xfId="0">
      <alignment horizontal="center" vertical="center"/>
    </xf>
    <xf numFmtId="0" fontId="0" fillId="189" borderId="0" applyAlignment="1" pivotButton="0" quotePrefix="0" xfId="0">
      <alignment horizontal="center" vertical="center"/>
    </xf>
    <xf numFmtId="0" fontId="0" fillId="190" borderId="0" applyAlignment="1" pivotButton="0" quotePrefix="0" xfId="0">
      <alignment horizontal="center" vertical="center"/>
    </xf>
    <xf numFmtId="0" fontId="8" fillId="191" borderId="0" applyAlignment="1" pivotButton="0" quotePrefix="0" xfId="0">
      <alignment horizontal="center" vertical="center"/>
    </xf>
    <xf numFmtId="0" fontId="0" fillId="192" borderId="0" applyAlignment="1" pivotButton="0" quotePrefix="0" xfId="0">
      <alignment horizontal="center" vertical="center"/>
    </xf>
    <xf numFmtId="0" fontId="8" fillId="194" borderId="0" applyAlignment="1" pivotButton="0" quotePrefix="0" xfId="0">
      <alignment horizontal="center" vertical="center"/>
    </xf>
    <xf numFmtId="0" fontId="0" fillId="195" borderId="0" applyAlignment="1" pivotButton="0" quotePrefix="0" xfId="0">
      <alignment horizontal="center" vertical="center"/>
    </xf>
    <xf numFmtId="0" fontId="0" fillId="197" borderId="0" applyAlignment="1" pivotButton="0" quotePrefix="0" xfId="0">
      <alignment horizontal="center" vertical="center"/>
    </xf>
    <xf numFmtId="0" fontId="0" fillId="198" borderId="0" applyAlignment="1" pivotButton="0" quotePrefix="0" xfId="0">
      <alignment horizontal="center" vertical="center"/>
    </xf>
    <xf numFmtId="0" fontId="0" fillId="200" borderId="0" applyAlignment="1" pivotButton="0" quotePrefix="0" xfId="0">
      <alignment horizontal="center" vertical="center"/>
    </xf>
    <xf numFmtId="0" fontId="8" fillId="201" borderId="0" applyAlignment="1" pivotButton="0" quotePrefix="0" xfId="0">
      <alignment horizontal="center" vertical="center"/>
    </xf>
    <xf numFmtId="0" fontId="0" fillId="202" borderId="0" applyAlignment="1" pivotButton="0" quotePrefix="0" xfId="0">
      <alignment horizontal="center" vertical="center"/>
    </xf>
    <xf numFmtId="0" fontId="0" fillId="203" borderId="0" applyAlignment="1" pivotButton="0" quotePrefix="0" xfId="0">
      <alignment horizontal="center" vertical="center"/>
    </xf>
    <xf numFmtId="0" fontId="0" fillId="205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cyber.mil/training/cyber-10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DoD 8140 Cybersecurity Workforce Qualification — Personal Certification Path</t>
        </is>
      </c>
    </row>
    <row r="2">
      <c r="A2" t="inlineStr"/>
    </row>
    <row r="3">
      <c r="A3" t="inlineStr">
        <is>
          <t>[PLACEHOLDER — narrative to be rewritten by Jeff]</t>
        </is>
      </c>
    </row>
    <row r="4">
      <c r="A4" t="inlineStr"/>
    </row>
    <row r="5">
      <c r="A5" t="inlineStr">
        <is>
          <t>This workbook presents the certification-path options from DoDM 8140.03, sourced from the DoD 8140 Foundational Qualification Matrix V2.1 (effective 2025-09-19). Other qualification paths in the DoD 8140 paradigm (education, DoD training, commercial training, experience) are intentionally out of scope for this reference.</t>
        </is>
      </c>
    </row>
    <row r="6">
      <c r="A6" t="inlineStr"/>
    </row>
    <row r="7">
      <c r="A7" t="inlineStr">
        <is>
          <t>Tabs:</t>
        </is>
      </c>
    </row>
    <row r="8">
      <c r="A8" t="inlineStr">
        <is>
          <t xml:space="preserve">  - 'Certification Requirements' — per-role summary: for each work role, the approved certification options at Basic / Intermediate / Advanced levels.</t>
        </is>
      </c>
    </row>
    <row r="9">
      <c r="A9" t="inlineStr">
        <is>
          <t xml:space="preserve">  - 'Certification Analysis' — inverted pivot view: all certs across all work roles on one page. Cells contain the highest proficiency level (1 = Basic, 2 = Intermediate, 3 = Advanced) at which that cert qualifies a person for that role. Summary rows at the bottom.</t>
        </is>
      </c>
    </row>
    <row r="10">
      <c r="A10" t="inlineStr"/>
    </row>
    <row r="11">
      <c r="A11" t="inlineStr">
        <is>
          <t>Work roles with no certification data (pending DoD review):</t>
        </is>
      </c>
    </row>
    <row r="12">
      <c r="A12" t="inlineStr">
        <is>
          <t xml:space="preserve">  - (462) Control Systems Security Specialist</t>
        </is>
      </c>
    </row>
    <row r="13">
      <c r="A13" t="inlineStr">
        <is>
          <t xml:space="preserve">  - (731) Cyber Legal Advisor</t>
        </is>
      </c>
    </row>
    <row r="14">
      <c r="A14" t="inlineStr">
        <is>
          <t xml:space="preserve">  - (901) Executive Cyber Leader</t>
        </is>
      </c>
    </row>
    <row r="15">
      <c r="A15" t="inlineStr"/>
    </row>
    <row r="16">
      <c r="A16" t="inlineStr">
        <is>
          <t>These roles exist in the DoD 8140 V2.1 role universe but have no published certification options. Omitted from the matrix; will be added when DoD publishes data.</t>
        </is>
      </c>
    </row>
    <row r="17">
      <c r="A17" t="inlineStr"/>
    </row>
    <row r="18">
      <c r="A18" t="inlineStr">
        <is>
          <t>Authoritative source: DoD 8140 Foundational Qualification Matrix V2.1</t>
        </is>
      </c>
    </row>
    <row r="19">
      <c r="A19" t="inlineStr">
        <is>
          <t>URL at time of refresh: www.cyber.mil/dod-workforce-innovation-directorate/dod8140/qualification-matrices</t>
        </is>
      </c>
    </row>
    <row r="20">
      <c r="A20" t="inlineStr"/>
    </row>
    <row r="21">
      <c r="A21" t="inlineStr">
        <is>
          <t>Compiled by Jeff Krueger.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Certification Path Qualification Options (DoD 8140.03)</t>
        </is>
      </c>
    </row>
    <row r="2">
      <c r="A2" s="2" t="inlineStr">
        <is>
          <t>Work Role</t>
        </is>
      </c>
      <c r="B2" s="2" t="inlineStr">
        <is>
          <t>Basic</t>
        </is>
      </c>
      <c r="C2" s="2" t="inlineStr">
        <is>
          <t>Intermediate</t>
        </is>
      </c>
      <c r="D2" s="2" t="inlineStr">
        <is>
          <t>Advanced</t>
        </is>
      </c>
    </row>
    <row r="3">
      <c r="A3" s="3" t="inlineStr">
        <is>
          <t>(111) All-Source Analyst</t>
        </is>
      </c>
      <c r="B3" s="3" t="n"/>
      <c r="C3" s="3" t="n"/>
      <c r="D3" s="3" t="inlineStr">
        <is>
          <t>CySA+, GCTI, RCCE Level 1</t>
        </is>
      </c>
    </row>
    <row r="4">
      <c r="A4" s="3" t="inlineStr">
        <is>
          <t>(121) Exploitation Analyst</t>
        </is>
      </c>
      <c r="B4" s="3" t="n"/>
      <c r="C4" s="3" t="n"/>
      <c r="D4" s="3" t="inlineStr">
        <is>
          <t>GCIH, GPEN, PenTest+</t>
        </is>
      </c>
    </row>
    <row r="5">
      <c r="A5" s="3" t="inlineStr">
        <is>
          <t>(131) Joint Targeting Analyst</t>
        </is>
      </c>
      <c r="B5" s="3" t="n"/>
      <c r="C5" s="3" t="n"/>
      <c r="D5" s="3" t="inlineStr">
        <is>
          <t>GPEN</t>
        </is>
      </c>
    </row>
    <row r="6">
      <c r="A6" s="3" t="inlineStr">
        <is>
          <t>(132) Target Digital Network Analyst</t>
        </is>
      </c>
      <c r="B6" s="3" t="n"/>
      <c r="C6" s="3" t="n"/>
      <c r="D6" s="3" t="inlineStr">
        <is>
          <t>GCIH, GPEN</t>
        </is>
      </c>
    </row>
    <row r="7">
      <c r="A7" s="3" t="inlineStr">
        <is>
          <t>(211) Forensics Analyst</t>
        </is>
      </c>
      <c r="B7" s="3" t="n"/>
      <c r="C7" s="3" t="inlineStr">
        <is>
          <t>CHFI, PenTest+</t>
        </is>
      </c>
      <c r="D7" s="3" t="inlineStr">
        <is>
          <t>CFR, CySA+, GCFA, GCFE, RCCE Level 1</t>
        </is>
      </c>
    </row>
    <row r="8">
      <c r="A8" s="3" t="inlineStr">
        <is>
          <t>(212) Cyber Defense Forensics Analyst</t>
        </is>
      </c>
      <c r="B8" s="3" t="n"/>
      <c r="C8" s="3" t="inlineStr">
        <is>
          <t>CHFI, RCCE Level 1</t>
        </is>
      </c>
      <c r="D8" s="3" t="inlineStr">
        <is>
          <t>CFR, CySA+, GCFA, GCFE, GREM, PenTest+</t>
        </is>
      </c>
    </row>
    <row r="9">
      <c r="A9" s="3" t="inlineStr">
        <is>
          <t>(221) Cyber Crime Investigator</t>
        </is>
      </c>
      <c r="B9" s="3" t="inlineStr">
        <is>
          <t>GCIH</t>
        </is>
      </c>
      <c r="C9" s="3" t="inlineStr">
        <is>
          <t>CHFI, PenTest+</t>
        </is>
      </c>
      <c r="D9" s="3" t="inlineStr">
        <is>
          <t>CFR, CySA+, GCFA, GCFE, SecurityX / CASP+</t>
        </is>
      </c>
    </row>
    <row r="10">
      <c r="A10" s="3" t="inlineStr">
        <is>
          <t>(311) All-Source Collection Manager</t>
        </is>
      </c>
      <c r="B10" s="3" t="n"/>
      <c r="C10" s="3" t="n"/>
      <c r="D10" s="3" t="inlineStr">
        <is>
          <t>GCFA, GCTI</t>
        </is>
      </c>
    </row>
    <row r="11">
      <c r="A11" s="3" t="inlineStr">
        <is>
          <t>(312) All-Source Collection Requirements Manager</t>
        </is>
      </c>
      <c r="B11" s="3" t="n"/>
      <c r="C11" s="3" t="n"/>
      <c r="D11" s="3" t="inlineStr">
        <is>
          <t>GCFA, GCTI</t>
        </is>
      </c>
    </row>
    <row r="12">
      <c r="A12" s="3" t="inlineStr">
        <is>
          <t>(331) Cyber Intelligence Planner</t>
        </is>
      </c>
      <c r="B12" s="3" t="n"/>
      <c r="C12" s="3" t="n"/>
      <c r="D12" s="3" t="inlineStr">
        <is>
          <t>GCTI</t>
        </is>
      </c>
    </row>
    <row r="13">
      <c r="A13" s="3" t="inlineStr">
        <is>
          <t>(332) Cyber Operations Planner</t>
        </is>
      </c>
      <c r="B13" s="3" t="n"/>
      <c r="C13" s="3" t="n"/>
      <c r="D13" s="3" t="inlineStr">
        <is>
          <t>GCIH, GPEN, RCCE Level 1</t>
        </is>
      </c>
    </row>
    <row r="14">
      <c r="A14" s="3" t="inlineStr">
        <is>
          <t>(411) Technical Support Specialist</t>
        </is>
      </c>
      <c r="B14" s="3" t="inlineStr">
        <is>
          <t>A+, Network+</t>
        </is>
      </c>
      <c r="C14" s="3" t="inlineStr">
        <is>
          <t>CND, GFACT, GSEC, Security+</t>
        </is>
      </c>
      <c r="D14" s="3" t="inlineStr">
        <is>
          <t>CCNP Security, CISA, FITSP-O, GICSP, SSCP, SecurityX / CASP+</t>
        </is>
      </c>
    </row>
    <row r="15">
      <c r="A15" s="3" t="inlineStr">
        <is>
          <t>(421) Database Administrator</t>
        </is>
      </c>
      <c r="B15" s="3" t="n"/>
      <c r="C15" s="3" t="inlineStr">
        <is>
          <t>Cloud+, GSEC, SSCP, Security+</t>
        </is>
      </c>
      <c r="D15" s="3" t="inlineStr">
        <is>
          <t>CCNP Security, CISA, CISSP, CISSP-ISSAP, CISSP-ISSEP, SecurityX / CASP+</t>
        </is>
      </c>
    </row>
    <row r="16">
      <c r="A16" s="3" t="inlineStr">
        <is>
          <t>(422) Data Analyst</t>
        </is>
      </c>
      <c r="B16" s="3" t="n"/>
      <c r="C16" s="3" t="inlineStr">
        <is>
          <t>GSEC, SSCP</t>
        </is>
      </c>
      <c r="D16" s="3" t="inlineStr">
        <is>
          <t>CCISO, CISM, CISSP, GSLC</t>
        </is>
      </c>
    </row>
    <row r="17">
      <c r="A17" s="3" t="inlineStr">
        <is>
          <t>(431) Knowledge Manager</t>
        </is>
      </c>
      <c r="B17" s="3" t="n"/>
      <c r="C17" s="3" t="inlineStr">
        <is>
          <t>SSCP, Security+</t>
        </is>
      </c>
      <c r="D17" s="3" t="n"/>
    </row>
    <row r="18">
      <c r="A18" s="3" t="inlineStr">
        <is>
          <t>(441) Network Operations Specialist</t>
        </is>
      </c>
      <c r="B18" s="3" t="inlineStr">
        <is>
          <t>CND, Network+</t>
        </is>
      </c>
      <c r="C18" s="3" t="inlineStr">
        <is>
          <t>CEH, Cloud+, GCIH, GICSP, GSEC, SSCP, Security+</t>
        </is>
      </c>
      <c r="D18" s="3" t="inlineStr">
        <is>
          <t>CCNA, CCNP Security, CCSP, GCED, GCIA, GCLD, GDSA, GFACT, SecurityX / CASP+</t>
        </is>
      </c>
    </row>
    <row r="19">
      <c r="A19" s="3" t="inlineStr">
        <is>
          <t>(451) System Administrator</t>
        </is>
      </c>
      <c r="B19" s="3" t="inlineStr">
        <is>
          <t>A+, CND, Network+</t>
        </is>
      </c>
      <c r="C19" s="3" t="inlineStr">
        <is>
          <t>Cloud+, GICSP, GSEC, SSCP, Security+</t>
        </is>
      </c>
      <c r="D19" s="3" t="inlineStr">
        <is>
          <t>CCNP Security, CCSP, FITSP-O, GFACT, SecurityX / CASP+</t>
        </is>
      </c>
    </row>
    <row r="20">
      <c r="A20" s="3" t="inlineStr">
        <is>
          <t>(461) Systems Security Analyst</t>
        </is>
      </c>
      <c r="B20" s="3" t="inlineStr">
        <is>
          <t>CND, SSCP</t>
        </is>
      </c>
      <c r="C20" s="3" t="inlineStr">
        <is>
          <t>CCSP, Cloud+, GICSP, GISF, GSEC, Security+</t>
        </is>
      </c>
      <c r="D20" s="3" t="inlineStr">
        <is>
          <t>CISSO, CISSP-ISSEP, CySA+, FITSP-O, GCLD, GCSA, GSNA, RCCE Level 1</t>
        </is>
      </c>
    </row>
    <row r="21">
      <c r="A21" s="3" t="inlineStr">
        <is>
          <t>(511) Cyber Defense Analyst</t>
        </is>
      </c>
      <c r="B21" s="3" t="inlineStr">
        <is>
          <t>CC, CEH, GFACT, GISF</t>
        </is>
      </c>
      <c r="C21" s="3" t="inlineStr">
        <is>
          <t>CEH(P), Cloud+, FITSP-O, GCED, GDSA, GMON, GRID, GSEC, PenTest+, Security+</t>
        </is>
      </c>
      <c r="D21" s="3" t="inlineStr">
        <is>
          <t>CBROPS, CFR, CySA+, GCFA, GCIA, GICSP</t>
        </is>
      </c>
    </row>
    <row r="22">
      <c r="A22" s="3" t="inlineStr">
        <is>
          <t>(521) Cyber Defense Infrastructure Support Specialist</t>
        </is>
      </c>
      <c r="B22" s="3" t="inlineStr">
        <is>
          <t>A+, CC, CND, GCLD, GDSA, GFACT, Network+</t>
        </is>
      </c>
      <c r="C22" s="3" t="inlineStr">
        <is>
          <t>CEH, Cloud+, CySA+, GMON, GRID, GSEC, PenTest+, SSCP, Security+</t>
        </is>
      </c>
      <c r="D22" s="3" t="inlineStr">
        <is>
          <t>CISSP-ISSAP, CISSP-ISSEP, GCIA, GICSP</t>
        </is>
      </c>
    </row>
    <row r="23">
      <c r="A23" s="3" t="inlineStr">
        <is>
          <t>(531) Cyber Defense Incident Responder</t>
        </is>
      </c>
      <c r="B23" s="3" t="inlineStr">
        <is>
          <t>CC, GDSA, GISF</t>
        </is>
      </c>
      <c r="C23" s="3" t="inlineStr">
        <is>
          <t>CBROPS, CCSP, CEH, CEH(P), Cloud+, ECIH, FITSP-O, GCED, GCIH, GRID, GSEC, PenTest+, RCCE Level 1, Security+</t>
        </is>
      </c>
      <c r="D23" s="3" t="inlineStr">
        <is>
          <t>CFR, CySA+, GCFA, GCIA, GICSP</t>
        </is>
      </c>
    </row>
    <row r="24">
      <c r="A24" s="3" t="inlineStr">
        <is>
          <t>(541) Vulnerability Assessment Analyst</t>
        </is>
      </c>
      <c r="B24" s="3" t="inlineStr">
        <is>
          <t>CEH</t>
        </is>
      </c>
      <c r="C24" s="3" t="inlineStr">
        <is>
          <t>CEH(P), CPTE, Cloud+, FITSP-A, GCED, GCIH, GCSA, GICSP, GSEC, PenTest+, RCCE Level 1, Security+</t>
        </is>
      </c>
      <c r="D24" s="3" t="inlineStr">
        <is>
          <t>CFR, CISA, CISM, CySA+, GPEN, GSNA</t>
        </is>
      </c>
    </row>
    <row r="25">
      <c r="A25" s="3" t="inlineStr">
        <is>
          <t>(611) Authorizing Official/Designated Representative</t>
        </is>
      </c>
      <c r="B25" s="3" t="n"/>
      <c r="C25" s="3" t="inlineStr">
        <is>
          <t>CCSP, CGRC/CAP, Cloud+, GSEC</t>
        </is>
      </c>
      <c r="D25" s="3" t="inlineStr">
        <is>
          <t>CCISO, CISM, CISSP, CISSP-ISSEP, CISSP-ISSMP, FITSP-M, GCSA, GSLC</t>
        </is>
      </c>
    </row>
    <row r="26">
      <c r="A26" s="3" t="inlineStr">
        <is>
          <t>(612) Security Control Assessor</t>
        </is>
      </c>
      <c r="B26" s="3" t="n"/>
      <c r="C26" s="3" t="inlineStr">
        <is>
          <t>CGRC/CAP, CISSO, Cloud+, FITSP-A, GCSA, GSEC, PenTest+, Security+, SecurityX / CASP+</t>
        </is>
      </c>
      <c r="D26" s="3" t="inlineStr">
        <is>
          <t>CCISO, CISA, CISM, CISSP, CISSP-ISSEP, CySA+, GSLC, GSNA</t>
        </is>
      </c>
    </row>
    <row r="27">
      <c r="A27" s="3" t="inlineStr">
        <is>
          <t>(621) Software Developer</t>
        </is>
      </c>
      <c r="B27" s="3" t="n"/>
      <c r="C27" s="3" t="inlineStr">
        <is>
          <t>CSSLP, GSEC</t>
        </is>
      </c>
      <c r="D27" s="3" t="inlineStr">
        <is>
          <t>CISSP-ISSAP</t>
        </is>
      </c>
    </row>
    <row r="28">
      <c r="A28" s="3" t="inlineStr">
        <is>
          <t>(622) Secure Software Assessor</t>
        </is>
      </c>
      <c r="B28" s="3" t="inlineStr">
        <is>
          <t>GCLD</t>
        </is>
      </c>
      <c r="C28" s="3" t="inlineStr">
        <is>
          <t>CSC, CSSLP, GCSA, GSEC, Security+</t>
        </is>
      </c>
      <c r="D28" s="3" t="inlineStr">
        <is>
          <t>CISSP-ISSEP</t>
        </is>
      </c>
    </row>
    <row r="29">
      <c r="A29" s="3" t="inlineStr">
        <is>
          <t>(631) Information Systems Security Developer</t>
        </is>
      </c>
      <c r="B29" s="3" t="inlineStr">
        <is>
          <t>CC, CND, GISF, SSCP</t>
        </is>
      </c>
      <c r="C29" s="3" t="inlineStr">
        <is>
          <t>CCSP, CSC, Cloud+, GCLD, GCSA, GSEC, SecurityX / CASP+</t>
        </is>
      </c>
      <c r="D29" s="3" t="inlineStr">
        <is>
          <t>CISSP-ISSEP, FITSP-D</t>
        </is>
      </c>
    </row>
    <row r="30">
      <c r="A30" s="3" t="inlineStr">
        <is>
          <t>(632) Systems Developer</t>
        </is>
      </c>
      <c r="B30" s="3" t="inlineStr">
        <is>
          <t>CND</t>
        </is>
      </c>
      <c r="C30" s="3" t="inlineStr">
        <is>
          <t>CSSLP, GCLD, GSEC</t>
        </is>
      </c>
      <c r="D30" s="3" t="inlineStr">
        <is>
          <t>FITSP-D, GCSA, GISF, SSCP</t>
        </is>
      </c>
    </row>
    <row r="31">
      <c r="A31" s="3" t="inlineStr">
        <is>
          <t>(641) Systems Requirements Planner</t>
        </is>
      </c>
      <c r="B31" s="3" t="inlineStr">
        <is>
          <t>CND</t>
        </is>
      </c>
      <c r="C31" s="3" t="inlineStr">
        <is>
          <t>CCSP, CFR, FITSP-M, GSEC, SSCP, Security+</t>
        </is>
      </c>
      <c r="D31" s="3" t="inlineStr">
        <is>
          <t>GCSA, GSLC, SecurityX / CASP+</t>
        </is>
      </c>
    </row>
    <row r="32">
      <c r="A32" s="3" t="inlineStr">
        <is>
          <t>(651) Enterprise Architect</t>
        </is>
      </c>
      <c r="B32" s="3" t="inlineStr">
        <is>
          <t>CND</t>
        </is>
      </c>
      <c r="C32" s="3" t="inlineStr">
        <is>
          <t>CCSP, CSSLP, Cloud+, FITSP-D, GDSA, GSEC, SecurityX / CASP+</t>
        </is>
      </c>
      <c r="D32" s="3" t="inlineStr">
        <is>
          <t>CISSO, CISSP-ISSAP, CISSP-ISSEP, GCIA, GCLD, GCSA, GICSP</t>
        </is>
      </c>
    </row>
    <row r="33">
      <c r="A33" s="3" t="inlineStr">
        <is>
          <t>(652) Security Architect</t>
        </is>
      </c>
      <c r="B33" s="3" t="inlineStr">
        <is>
          <t>GCLD, GISF</t>
        </is>
      </c>
      <c r="C33" s="3" t="inlineStr">
        <is>
          <t>CCSP, CISSO, CSSLP, Cloud+, FITSP-D, GCSA, GMON, GSEC, SecurityX / CASP+</t>
        </is>
      </c>
      <c r="D33" s="3" t="inlineStr">
        <is>
          <t>CCNP Enterprise, CISM, CISSP-ISSAP, CISSP-ISSEP, GCIA, GDSA, GICSP</t>
        </is>
      </c>
    </row>
    <row r="34">
      <c r="A34" s="3" t="inlineStr">
        <is>
          <t>(661) Research &amp; Development Specialist</t>
        </is>
      </c>
      <c r="B34" s="3" t="n"/>
      <c r="C34" s="3" t="inlineStr">
        <is>
          <t>Security+</t>
        </is>
      </c>
      <c r="D34" s="3" t="inlineStr">
        <is>
          <t>CEH, GCLD, RCCE Level 1, SecurityX / CASP+</t>
        </is>
      </c>
    </row>
    <row r="35">
      <c r="A35" s="3" t="inlineStr">
        <is>
          <t>(671) System Testing and Evaluation Specialist</t>
        </is>
      </c>
      <c r="B35" s="3" t="inlineStr">
        <is>
          <t>CND, Network+</t>
        </is>
      </c>
      <c r="C35" s="3" t="inlineStr">
        <is>
          <t>CEH, CFR, Cloud+, GSEC, PenTest+, SSCP, Security+</t>
        </is>
      </c>
      <c r="D35" s="3" t="inlineStr">
        <is>
          <t>CCSP</t>
        </is>
      </c>
    </row>
    <row r="36">
      <c r="A36" s="3" t="inlineStr">
        <is>
          <t>(711) Cyber Instructional Curriculum Developer</t>
        </is>
      </c>
      <c r="B36" s="3" t="n"/>
      <c r="C36" s="3" t="inlineStr">
        <is>
          <t>GSEC</t>
        </is>
      </c>
      <c r="D36" s="3" t="n"/>
    </row>
    <row r="37">
      <c r="A37" s="3" t="inlineStr">
        <is>
          <t>(712) Cyber Instructor</t>
        </is>
      </c>
      <c r="B37" s="3" t="n"/>
      <c r="C37" s="3" t="n"/>
      <c r="D37" s="3" t="inlineStr">
        <is>
          <t>CISSO</t>
        </is>
      </c>
    </row>
    <row r="38">
      <c r="A38" s="3" t="inlineStr">
        <is>
          <t>(722) Information Systems Security Manager</t>
        </is>
      </c>
      <c r="B38" s="3" t="inlineStr">
        <is>
          <t>CC</t>
        </is>
      </c>
      <c r="C38" s="3" t="inlineStr">
        <is>
          <t>CCISO, CCSP, CGRC/CAP, CISSO, Cloud+, GCSA, GMON, GSEC, SSCP, Security+, SecurityX / CASP+</t>
        </is>
      </c>
      <c r="D38" s="3" t="inlineStr">
        <is>
          <t>CISM, CISSP, CISSP-ISSMP, FITSP-M, GCIA, GCIH, GICSP, GSLC</t>
        </is>
      </c>
    </row>
    <row r="39">
      <c r="A39" s="3" t="inlineStr">
        <is>
          <t>(723) COMSEC Manager</t>
        </is>
      </c>
      <c r="B39" s="3" t="n"/>
      <c r="C39" s="3" t="inlineStr">
        <is>
          <t>GSEC</t>
        </is>
      </c>
      <c r="D39" s="3" t="inlineStr">
        <is>
          <t>CISM, CISSO, FITSP-M, GCIH, GCSA, GICSP, GSLC</t>
        </is>
      </c>
    </row>
    <row r="40">
      <c r="A40" s="3" t="inlineStr">
        <is>
          <t>(732) Privacy Compliance Manager</t>
        </is>
      </c>
      <c r="B40" s="3" t="n"/>
      <c r="C40" s="3" t="n"/>
      <c r="D40" s="3" t="inlineStr">
        <is>
          <t>CISSO, GSLC</t>
        </is>
      </c>
    </row>
    <row r="41">
      <c r="A41" s="3" t="inlineStr">
        <is>
          <t>(751) Cyber Workforce Developer and Manager</t>
        </is>
      </c>
      <c r="B41" s="3" t="n"/>
      <c r="C41" s="3" t="inlineStr">
        <is>
          <t>Security+</t>
        </is>
      </c>
      <c r="D41" s="3" t="inlineStr">
        <is>
          <t>CCISO, CCSP, CFR, CISM, CISSP, GSLC, SecurityX / CASP+</t>
        </is>
      </c>
    </row>
    <row r="42">
      <c r="A42" s="3" t="inlineStr">
        <is>
          <t>(752) Cyber Policy and Strategy Planner</t>
        </is>
      </c>
      <c r="B42" s="3" t="n"/>
      <c r="C42" s="3" t="inlineStr">
        <is>
          <t>Security+</t>
        </is>
      </c>
      <c r="D42" s="3" t="inlineStr">
        <is>
          <t>CCISO, CCSP, CISM, CISSO, CISSP, GSLC, SecurityX / CASP+</t>
        </is>
      </c>
    </row>
    <row r="43">
      <c r="A43" s="3" t="inlineStr">
        <is>
          <t>(801) Program Manager</t>
        </is>
      </c>
      <c r="B43" s="3" t="n"/>
      <c r="C43" s="3" t="inlineStr">
        <is>
          <t>CGRC/CAP, DAWIA PM Practioner, SecurityX / CASP+</t>
        </is>
      </c>
      <c r="D43" s="3" t="inlineStr">
        <is>
          <t>CCISO, CISM, CISSO, CISSP, DAWIA PM Advanced, GFACT, GSLC, RCCE Level 1</t>
        </is>
      </c>
    </row>
    <row r="44">
      <c r="A44" s="3" t="inlineStr">
        <is>
          <t>(802) IT Project Manager</t>
        </is>
      </c>
      <c r="B44" s="3" t="n"/>
      <c r="C44" s="3" t="inlineStr">
        <is>
          <t>DAWIA PM Practioner, GSEC, Security+, SecurityX / CASP+</t>
        </is>
      </c>
      <c r="D44" s="3" t="inlineStr">
        <is>
          <t>CCISO, CCSP, CISA, CISM, CISSP, CISSP-ISSEP, CISSP-ISSMP, DAWIA PM Advanced, FITSP-A, FITSP-M, GFACT, GSLC, RCCE Level 1</t>
        </is>
      </c>
    </row>
    <row r="45">
      <c r="A45" s="3" t="inlineStr">
        <is>
          <t>(803) Product Support Manager</t>
        </is>
      </c>
      <c r="B45" s="3" t="n"/>
      <c r="C45" s="3" t="inlineStr">
        <is>
          <t>DAWIA LCL Foundational</t>
        </is>
      </c>
      <c r="D45" s="3" t="inlineStr">
        <is>
          <t>CCISO, DAWIA LCL Advanced, GCSA, GFACT, GISF, GSLC, RCCE Level 1</t>
        </is>
      </c>
    </row>
    <row r="46">
      <c r="A46" s="3" t="inlineStr">
        <is>
          <t>(804) IT Investment/Portfolio Manager</t>
        </is>
      </c>
      <c r="B46" s="3" t="n"/>
      <c r="C46" s="3" t="n"/>
      <c r="D46" s="3" t="inlineStr">
        <is>
          <t>CCISO, CISM, CISSO, CISSP, FITSP-A, FITSP-M, GCSA, GFACT, GSLC</t>
        </is>
      </c>
    </row>
    <row r="47">
      <c r="A47" s="3" t="inlineStr">
        <is>
          <t>(805) IT Program Auditor</t>
        </is>
      </c>
      <c r="B47" s="3" t="n"/>
      <c r="C47" s="3" t="inlineStr">
        <is>
          <t>CGRC/CAP, GSEC, GSNA, SSCP, Security+, SecurityX / CASP+</t>
        </is>
      </c>
      <c r="D47" s="3" t="inlineStr">
        <is>
          <t>CCISO, CCSP, CISA, CISM, CISSP, FITSP-A, FITSP-M, GCSA, GISF, GSLC, RCCE Level 1</t>
        </is>
      </c>
    </row>
    <row r="49">
      <c r="A49" s="4" t="inlineStr">
        <is>
          <t>Note: The following work roles exist in DoD 8140 V2.1 but have no published cert options (pending DoD review): (462) Control Systems Security Specialist, (731) Cyber Legal Advisor, (901) Executive Cyber Leader.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47" customWidth="1" min="62" max="62"/>
    <col width="22" customWidth="1" min="63" max="63"/>
  </cols>
  <sheetData>
    <row r="1" ht="19" customHeight="1">
      <c r="A1" s="5" t="inlineStr">
        <is>
          <t>DoD 8140.03 Foundational Qualification: Personal Certification</t>
        </is>
      </c>
    </row>
    <row r="2" ht="19" customHeight="1">
      <c r="B2" s="6" t="inlineStr">
        <is>
          <t>CompTIA</t>
        </is>
      </c>
      <c r="I2" s="7" t="inlineStr">
        <is>
          <t>EC-Council</t>
        </is>
      </c>
      <c r="O2" s="8" t="inlineStr">
        <is>
          <t>FITSI</t>
        </is>
      </c>
      <c r="S2" s="9" t="inlineStr">
        <is>
          <t>GIAC (SANS)</t>
        </is>
      </c>
      <c r="AL2" s="10" t="inlineStr">
        <is>
          <t>ISACA</t>
        </is>
      </c>
      <c r="AN2" s="11" t="inlineStr">
        <is>
          <t>(ISC)2</t>
        </is>
      </c>
      <c r="AW2" s="12" t="inlineStr">
        <is>
          <t>CertNexus</t>
        </is>
      </c>
      <c r="AY2" s="13" t="inlineStr">
        <is>
          <t>CISCO</t>
        </is>
      </c>
      <c r="BC2" s="14" t="inlineStr">
        <is>
          <t>Rocheston</t>
        </is>
      </c>
      <c r="BD2" s="15" t="inlineStr">
        <is>
          <t>mile2</t>
        </is>
      </c>
      <c r="BF2" s="16" t="inlineStr">
        <is>
          <t>DAWIA</t>
        </is>
      </c>
    </row>
    <row r="3" ht="60" customHeight="1">
      <c r="A3" s="17" t="inlineStr">
        <is>
          <t>Work Role</t>
        </is>
      </c>
      <c r="B3" s="18" t="inlineStr">
        <is>
          <t>A+</t>
        </is>
      </c>
      <c r="C3" s="18" t="inlineStr">
        <is>
          <t>Net+</t>
        </is>
      </c>
      <c r="D3" s="18" t="inlineStr">
        <is>
          <t>Sec+</t>
        </is>
      </c>
      <c r="E3" s="18" t="inlineStr">
        <is>
          <t>Cloud+</t>
        </is>
      </c>
      <c r="F3" s="18" t="inlineStr">
        <is>
          <t>PenTest</t>
        </is>
      </c>
      <c r="G3" s="19" t="inlineStr">
        <is>
          <t>CySA+</t>
        </is>
      </c>
      <c r="H3" s="18" t="inlineStr">
        <is>
          <t>CASP+</t>
        </is>
      </c>
      <c r="I3" s="20" t="inlineStr">
        <is>
          <t>CND</t>
        </is>
      </c>
      <c r="J3" s="21" t="inlineStr">
        <is>
          <t>CEH</t>
        </is>
      </c>
      <c r="K3" s="22" t="inlineStr">
        <is>
          <t>CEH(P)</t>
        </is>
      </c>
      <c r="L3" s="23" t="inlineStr">
        <is>
          <t>CHFI</t>
        </is>
      </c>
      <c r="M3" s="24" t="inlineStr">
        <is>
          <t>ECIH</t>
        </is>
      </c>
      <c r="N3" s="25" t="inlineStr">
        <is>
          <t>CCISO</t>
        </is>
      </c>
      <c r="O3" s="26" t="inlineStr">
        <is>
          <t>FITSP-O</t>
        </is>
      </c>
      <c r="P3" s="27" t="inlineStr">
        <is>
          <t>FITSP-D</t>
        </is>
      </c>
      <c r="Q3" s="28" t="inlineStr">
        <is>
          <t>FITSP-A</t>
        </is>
      </c>
      <c r="R3" s="29" t="inlineStr">
        <is>
          <t>FITSP-M</t>
        </is>
      </c>
      <c r="S3" s="30" t="inlineStr">
        <is>
          <t>GISF</t>
        </is>
      </c>
      <c r="T3" s="31" t="inlineStr">
        <is>
          <t>GFACT</t>
        </is>
      </c>
      <c r="U3" s="32" t="inlineStr">
        <is>
          <t>GICSP</t>
        </is>
      </c>
      <c r="V3" s="33" t="inlineStr">
        <is>
          <t>GSEC</t>
        </is>
      </c>
      <c r="W3" s="34" t="inlineStr">
        <is>
          <t>GCLD</t>
        </is>
      </c>
      <c r="X3" s="35" t="inlineStr">
        <is>
          <t>GCIA</t>
        </is>
      </c>
      <c r="Y3" s="36" t="inlineStr">
        <is>
          <t>GCIH</t>
        </is>
      </c>
      <c r="Z3" s="37" t="inlineStr">
        <is>
          <t>GCSA</t>
        </is>
      </c>
      <c r="AA3" s="38" t="inlineStr">
        <is>
          <t>GPEN</t>
        </is>
      </c>
      <c r="AB3" s="39" t="inlineStr">
        <is>
          <t>GCED</t>
        </is>
      </c>
      <c r="AC3" s="40" t="inlineStr">
        <is>
          <t>GCFE</t>
        </is>
      </c>
      <c r="AD3" s="41" t="inlineStr">
        <is>
          <t>GSLC</t>
        </is>
      </c>
      <c r="AE3" s="42" t="inlineStr">
        <is>
          <t>GSNA</t>
        </is>
      </c>
      <c r="AF3" s="43" t="inlineStr">
        <is>
          <t>GCFA</t>
        </is>
      </c>
      <c r="AG3" s="44" t="inlineStr">
        <is>
          <t>GCTI</t>
        </is>
      </c>
      <c r="AH3" s="45" t="inlineStr">
        <is>
          <t>GDSA</t>
        </is>
      </c>
      <c r="AI3" s="46" t="inlineStr">
        <is>
          <t>GREM</t>
        </is>
      </c>
      <c r="AJ3" s="47" t="inlineStr">
        <is>
          <t>GMON</t>
        </is>
      </c>
      <c r="AK3" s="48" t="inlineStr">
        <is>
          <t>GRID</t>
        </is>
      </c>
      <c r="AL3" s="49" t="inlineStr">
        <is>
          <t>CISA</t>
        </is>
      </c>
      <c r="AM3" s="50" t="inlineStr">
        <is>
          <t>CISM</t>
        </is>
      </c>
      <c r="AN3" s="51" t="inlineStr">
        <is>
          <t>CC</t>
        </is>
      </c>
      <c r="AO3" s="52" t="inlineStr">
        <is>
          <t>SSCP</t>
        </is>
      </c>
      <c r="AP3" s="53" t="inlineStr">
        <is>
          <t>CCSP</t>
        </is>
      </c>
      <c r="AQ3" s="54" t="inlineStr">
        <is>
          <t>CSSLP</t>
        </is>
      </c>
      <c r="AR3" s="55" t="inlineStr">
        <is>
          <t>CGRC</t>
        </is>
      </c>
      <c r="AS3" s="56" t="inlineStr">
        <is>
          <t>CISSP</t>
        </is>
      </c>
      <c r="AT3" s="57" t="inlineStr">
        <is>
          <t>ISSAP</t>
        </is>
      </c>
      <c r="AU3" s="58" t="inlineStr">
        <is>
          <t>ISSEP</t>
        </is>
      </c>
      <c r="AV3" s="59" t="inlineStr">
        <is>
          <t>ISSMP</t>
        </is>
      </c>
      <c r="AW3" s="60" t="inlineStr">
        <is>
          <t>CFR</t>
        </is>
      </c>
      <c r="AX3" s="61" t="inlineStr">
        <is>
          <t>CSC</t>
        </is>
      </c>
      <c r="AY3" s="62" t="inlineStr">
        <is>
          <t>CCNA</t>
        </is>
      </c>
      <c r="AZ3" s="63" t="inlineStr">
        <is>
          <t>CBROPS</t>
        </is>
      </c>
      <c r="BA3" s="64" t="inlineStr">
        <is>
          <t>CCNP-S</t>
        </is>
      </c>
      <c r="BB3" s="65" t="inlineStr">
        <is>
          <t>CCNP-E</t>
        </is>
      </c>
      <c r="BC3" s="66" t="inlineStr">
        <is>
          <t>RCCE-1</t>
        </is>
      </c>
      <c r="BD3" s="67" t="inlineStr">
        <is>
          <t>CISSO</t>
        </is>
      </c>
      <c r="BE3" s="68" t="inlineStr">
        <is>
          <t>CPTE</t>
        </is>
      </c>
      <c r="BF3" s="49" t="inlineStr">
        <is>
          <t>DAWIA-LCL-F</t>
        </is>
      </c>
      <c r="BG3" s="69" t="inlineStr">
        <is>
          <t>DAWIA-LCL-A</t>
        </is>
      </c>
      <c r="BH3" s="70" t="inlineStr">
        <is>
          <t>DAWIA-PM-P</t>
        </is>
      </c>
      <c r="BI3" s="71" t="inlineStr">
        <is>
          <t>DAWIA-PM-A</t>
        </is>
      </c>
      <c r="BJ3" s="17" t="inlineStr">
        <is>
          <t>Work Role</t>
        </is>
      </c>
    </row>
    <row r="4" ht="16" customHeight="1">
      <c r="A4" s="3" t="inlineStr">
        <is>
          <t>(411) Technical Support Specialist</t>
        </is>
      </c>
      <c r="B4" s="72" t="n">
        <v>1</v>
      </c>
      <c r="C4" s="72" t="n">
        <v>1</v>
      </c>
      <c r="D4" s="73" t="n">
        <v>2</v>
      </c>
      <c r="H4" s="74" t="n">
        <v>3</v>
      </c>
      <c r="I4" s="75" t="n">
        <v>2</v>
      </c>
      <c r="O4" s="76" t="n">
        <v>3</v>
      </c>
      <c r="T4" s="77" t="n">
        <v>2</v>
      </c>
      <c r="U4" s="78" t="n">
        <v>3</v>
      </c>
      <c r="V4" s="79" t="n">
        <v>2</v>
      </c>
      <c r="AL4" s="80" t="n">
        <v>3</v>
      </c>
      <c r="AO4" s="81" t="n">
        <v>3</v>
      </c>
      <c r="BA4" s="82" t="n">
        <v>3</v>
      </c>
      <c r="BJ4" s="3" t="inlineStr">
        <is>
          <t>(411) Technical Support Specialist</t>
        </is>
      </c>
    </row>
    <row r="5" ht="16" customHeight="1">
      <c r="A5" s="83" t="inlineStr">
        <is>
          <t>(421) Database Administrator</t>
        </is>
      </c>
      <c r="B5" s="84" t="n"/>
      <c r="C5" s="84" t="n"/>
      <c r="D5" s="73" t="n">
        <v>2</v>
      </c>
      <c r="E5" s="73" t="n">
        <v>2</v>
      </c>
      <c r="F5" s="84" t="n"/>
      <c r="G5" s="84" t="n"/>
      <c r="H5" s="74" t="n">
        <v>3</v>
      </c>
      <c r="I5" s="84" t="n"/>
      <c r="J5" s="84" t="n"/>
      <c r="K5" s="84" t="n"/>
      <c r="L5" s="84" t="n"/>
      <c r="M5" s="84" t="n"/>
      <c r="N5" s="84" t="n"/>
      <c r="O5" s="84" t="n"/>
      <c r="P5" s="84" t="n"/>
      <c r="Q5" s="84" t="n"/>
      <c r="R5" s="84" t="n"/>
      <c r="S5" s="84" t="n"/>
      <c r="T5" s="84" t="n"/>
      <c r="U5" s="84" t="n"/>
      <c r="V5" s="79" t="n">
        <v>2</v>
      </c>
      <c r="W5" s="84" t="n"/>
      <c r="X5" s="84" t="n"/>
      <c r="Y5" s="84" t="n"/>
      <c r="Z5" s="84" t="n"/>
      <c r="AA5" s="84" t="n"/>
      <c r="AB5" s="84" t="n"/>
      <c r="AC5" s="84" t="n"/>
      <c r="AD5" s="84" t="n"/>
      <c r="AE5" s="84" t="n"/>
      <c r="AF5" s="84" t="n"/>
      <c r="AG5" s="84" t="n"/>
      <c r="AH5" s="84" t="n"/>
      <c r="AI5" s="84" t="n"/>
      <c r="AJ5" s="84" t="n"/>
      <c r="AK5" s="84" t="n"/>
      <c r="AL5" s="80" t="n">
        <v>3</v>
      </c>
      <c r="AM5" s="84" t="n"/>
      <c r="AN5" s="84" t="n"/>
      <c r="AO5" s="85" t="n">
        <v>2</v>
      </c>
      <c r="AP5" s="84" t="n"/>
      <c r="AQ5" s="84" t="n"/>
      <c r="AR5" s="84" t="n"/>
      <c r="AS5" s="86" t="n">
        <v>3</v>
      </c>
      <c r="AT5" s="87" t="n">
        <v>3</v>
      </c>
      <c r="AU5" s="88" t="n">
        <v>3</v>
      </c>
      <c r="AV5" s="84" t="n"/>
      <c r="AW5" s="84" t="n"/>
      <c r="AX5" s="84" t="n"/>
      <c r="AY5" s="84" t="n"/>
      <c r="AZ5" s="84" t="n"/>
      <c r="BA5" s="82" t="n">
        <v>3</v>
      </c>
      <c r="BB5" s="84" t="n"/>
      <c r="BC5" s="84" t="n"/>
      <c r="BD5" s="84" t="n"/>
      <c r="BE5" s="84" t="n"/>
      <c r="BF5" s="84" t="n"/>
      <c r="BG5" s="84" t="n"/>
      <c r="BH5" s="84" t="n"/>
      <c r="BI5" s="84" t="n"/>
      <c r="BJ5" s="83" t="inlineStr">
        <is>
          <t>(421) Database Administrator</t>
        </is>
      </c>
    </row>
    <row r="6" ht="16" customHeight="1">
      <c r="A6" s="3" t="inlineStr">
        <is>
          <t>(431) Knowledge Manager</t>
        </is>
      </c>
      <c r="D6" s="73" t="n">
        <v>2</v>
      </c>
      <c r="AO6" s="85" t="n">
        <v>2</v>
      </c>
      <c r="BJ6" s="3" t="inlineStr">
        <is>
          <t>(431) Knowledge Manager</t>
        </is>
      </c>
    </row>
    <row r="7" ht="16" customHeight="1">
      <c r="A7" s="83" t="inlineStr">
        <is>
          <t>(441) Network Operations Specialist</t>
        </is>
      </c>
      <c r="B7" s="84" t="n"/>
      <c r="C7" s="72" t="n">
        <v>1</v>
      </c>
      <c r="D7" s="73" t="n">
        <v>2</v>
      </c>
      <c r="E7" s="73" t="n">
        <v>2</v>
      </c>
      <c r="F7" s="84" t="n"/>
      <c r="G7" s="84" t="n"/>
      <c r="H7" s="74" t="n">
        <v>3</v>
      </c>
      <c r="I7" s="89" t="n">
        <v>1</v>
      </c>
      <c r="J7" s="90" t="n">
        <v>2</v>
      </c>
      <c r="K7" s="84" t="n"/>
      <c r="L7" s="84" t="n"/>
      <c r="M7" s="84" t="n"/>
      <c r="N7" s="84" t="n"/>
      <c r="O7" s="84" t="n"/>
      <c r="P7" s="84" t="n"/>
      <c r="Q7" s="84" t="n"/>
      <c r="R7" s="84" t="n"/>
      <c r="S7" s="84" t="n"/>
      <c r="T7" s="91" t="n">
        <v>3</v>
      </c>
      <c r="U7" s="92" t="n">
        <v>2</v>
      </c>
      <c r="V7" s="79" t="n">
        <v>2</v>
      </c>
      <c r="W7" s="93" t="n">
        <v>3</v>
      </c>
      <c r="X7" s="94" t="n">
        <v>3</v>
      </c>
      <c r="Y7" s="95" t="n">
        <v>2</v>
      </c>
      <c r="Z7" s="84" t="n"/>
      <c r="AA7" s="84" t="n"/>
      <c r="AB7" s="96" t="n">
        <v>3</v>
      </c>
      <c r="AC7" s="84" t="n"/>
      <c r="AD7" s="84" t="n"/>
      <c r="AE7" s="84" t="n"/>
      <c r="AF7" s="84" t="n"/>
      <c r="AG7" s="84" t="n"/>
      <c r="AH7" s="97" t="n">
        <v>3</v>
      </c>
      <c r="AI7" s="84" t="n"/>
      <c r="AJ7" s="84" t="n"/>
      <c r="AK7" s="84" t="n"/>
      <c r="AL7" s="84" t="n"/>
      <c r="AM7" s="84" t="n"/>
      <c r="AN7" s="84" t="n"/>
      <c r="AO7" s="85" t="n">
        <v>2</v>
      </c>
      <c r="AP7" s="98" t="n">
        <v>3</v>
      </c>
      <c r="AQ7" s="84" t="n"/>
      <c r="AR7" s="84" t="n"/>
      <c r="AS7" s="84" t="n"/>
      <c r="AT7" s="84" t="n"/>
      <c r="AU7" s="84" t="n"/>
      <c r="AV7" s="84" t="n"/>
      <c r="AW7" s="84" t="n"/>
      <c r="AX7" s="84" t="n"/>
      <c r="AY7" s="99" t="n">
        <v>3</v>
      </c>
      <c r="AZ7" s="84" t="n"/>
      <c r="BA7" s="82" t="n">
        <v>3</v>
      </c>
      <c r="BB7" s="84" t="n"/>
      <c r="BC7" s="84" t="n"/>
      <c r="BD7" s="84" t="n"/>
      <c r="BE7" s="84" t="n"/>
      <c r="BF7" s="84" t="n"/>
      <c r="BG7" s="84" t="n"/>
      <c r="BH7" s="84" t="n"/>
      <c r="BI7" s="84" t="n"/>
      <c r="BJ7" s="83" t="inlineStr">
        <is>
          <t>(441) Network Operations Specialist</t>
        </is>
      </c>
    </row>
    <row r="8" ht="16" customHeight="1">
      <c r="A8" s="100" t="inlineStr">
        <is>
          <t>(451) System Admin (req'd for admin access)</t>
        </is>
      </c>
      <c r="B8" s="72" t="n">
        <v>1</v>
      </c>
      <c r="C8" s="72" t="n">
        <v>1</v>
      </c>
      <c r="D8" s="73" t="n">
        <v>2</v>
      </c>
      <c r="E8" s="73" t="n">
        <v>2</v>
      </c>
      <c r="H8" s="74" t="n">
        <v>3</v>
      </c>
      <c r="I8" s="89" t="n">
        <v>1</v>
      </c>
      <c r="O8" s="76" t="n">
        <v>3</v>
      </c>
      <c r="T8" s="91" t="n">
        <v>3</v>
      </c>
      <c r="U8" s="92" t="n">
        <v>2</v>
      </c>
      <c r="V8" s="79" t="n">
        <v>2</v>
      </c>
      <c r="AO8" s="85" t="n">
        <v>2</v>
      </c>
      <c r="AP8" s="98" t="n">
        <v>3</v>
      </c>
      <c r="BA8" s="82" t="n">
        <v>3</v>
      </c>
      <c r="BJ8" s="100" t="inlineStr">
        <is>
          <t>(451) System Admin (req'd for admin access)</t>
        </is>
      </c>
    </row>
    <row r="9" ht="16" customHeight="1">
      <c r="A9" s="83" t="inlineStr">
        <is>
          <t>(632) Systems Developer</t>
        </is>
      </c>
      <c r="B9" s="84" t="n"/>
      <c r="C9" s="84" t="n"/>
      <c r="D9" s="84" t="n"/>
      <c r="E9" s="84" t="n"/>
      <c r="F9" s="84" t="n"/>
      <c r="G9" s="84" t="n"/>
      <c r="H9" s="84" t="n"/>
      <c r="I9" s="89" t="n">
        <v>1</v>
      </c>
      <c r="J9" s="84" t="n"/>
      <c r="K9" s="84" t="n"/>
      <c r="L9" s="84" t="n"/>
      <c r="M9" s="84" t="n"/>
      <c r="N9" s="84" t="n"/>
      <c r="O9" s="84" t="n"/>
      <c r="P9" s="101" t="n">
        <v>3</v>
      </c>
      <c r="Q9" s="84" t="n"/>
      <c r="R9" s="84" t="n"/>
      <c r="S9" s="102" t="n">
        <v>3</v>
      </c>
      <c r="T9" s="84" t="n"/>
      <c r="U9" s="84" t="n"/>
      <c r="V9" s="79" t="n">
        <v>2</v>
      </c>
      <c r="W9" s="103" t="n">
        <v>2</v>
      </c>
      <c r="X9" s="84" t="n"/>
      <c r="Y9" s="84" t="n"/>
      <c r="Z9" s="104" t="n">
        <v>3</v>
      </c>
      <c r="AA9" s="84" t="n"/>
      <c r="AB9" s="84" t="n"/>
      <c r="AC9" s="84" t="n"/>
      <c r="AD9" s="84" t="n"/>
      <c r="AE9" s="84" t="n"/>
      <c r="AF9" s="84" t="n"/>
      <c r="AG9" s="84" t="n"/>
      <c r="AH9" s="84" t="n"/>
      <c r="AI9" s="84" t="n"/>
      <c r="AJ9" s="84" t="n"/>
      <c r="AK9" s="84" t="n"/>
      <c r="AL9" s="84" t="n"/>
      <c r="AM9" s="84" t="n"/>
      <c r="AN9" s="84" t="n"/>
      <c r="AO9" s="81" t="n">
        <v>3</v>
      </c>
      <c r="AP9" s="84" t="n"/>
      <c r="AQ9" s="105" t="n">
        <v>2</v>
      </c>
      <c r="AR9" s="84" t="n"/>
      <c r="AS9" s="84" t="n"/>
      <c r="AT9" s="84" t="n"/>
      <c r="AU9" s="84" t="n"/>
      <c r="AV9" s="84" t="n"/>
      <c r="AW9" s="84" t="n"/>
      <c r="AX9" s="84" t="n"/>
      <c r="AY9" s="84" t="n"/>
      <c r="AZ9" s="84" t="n"/>
      <c r="BA9" s="84" t="n"/>
      <c r="BB9" s="84" t="n"/>
      <c r="BC9" s="84" t="n"/>
      <c r="BD9" s="84" t="n"/>
      <c r="BE9" s="84" t="n"/>
      <c r="BF9" s="84" t="n"/>
      <c r="BG9" s="84" t="n"/>
      <c r="BH9" s="84" t="n"/>
      <c r="BI9" s="84" t="n"/>
      <c r="BJ9" s="83" t="inlineStr">
        <is>
          <t>(632) Systems Developer</t>
        </is>
      </c>
    </row>
    <row r="10" ht="16" customHeight="1">
      <c r="A10" s="3" t="inlineStr">
        <is>
          <t>(641) Systems Requirements Planner</t>
        </is>
      </c>
      <c r="D10" s="73" t="n">
        <v>2</v>
      </c>
      <c r="H10" s="74" t="n">
        <v>3</v>
      </c>
      <c r="I10" s="89" t="n">
        <v>1</v>
      </c>
      <c r="R10" s="106" t="n">
        <v>2</v>
      </c>
      <c r="V10" s="79" t="n">
        <v>2</v>
      </c>
      <c r="Z10" s="104" t="n">
        <v>3</v>
      </c>
      <c r="AD10" s="107" t="n">
        <v>3</v>
      </c>
      <c r="AO10" s="85" t="n">
        <v>2</v>
      </c>
      <c r="AP10" s="108" t="n">
        <v>2</v>
      </c>
      <c r="AW10" s="109" t="n">
        <v>2</v>
      </c>
      <c r="BJ10" s="3" t="inlineStr">
        <is>
          <t>(641) Systems Requirements Planner</t>
        </is>
      </c>
    </row>
    <row r="11" ht="16" customHeight="1">
      <c r="A11" s="83" t="inlineStr">
        <is>
          <t>(651) Enterprise Architect</t>
        </is>
      </c>
      <c r="B11" s="84" t="n"/>
      <c r="C11" s="84" t="n"/>
      <c r="D11" s="84" t="n"/>
      <c r="E11" s="73" t="n">
        <v>2</v>
      </c>
      <c r="F11" s="84" t="n"/>
      <c r="G11" s="84" t="n"/>
      <c r="H11" s="73" t="n">
        <v>2</v>
      </c>
      <c r="I11" s="89" t="n">
        <v>1</v>
      </c>
      <c r="J11" s="84" t="n"/>
      <c r="K11" s="84" t="n"/>
      <c r="L11" s="84" t="n"/>
      <c r="M11" s="84" t="n"/>
      <c r="N11" s="84" t="n"/>
      <c r="O11" s="84" t="n"/>
      <c r="P11" s="110" t="n">
        <v>2</v>
      </c>
      <c r="Q11" s="84" t="n"/>
      <c r="R11" s="84" t="n"/>
      <c r="S11" s="84" t="n"/>
      <c r="T11" s="84" t="n"/>
      <c r="U11" s="78" t="n">
        <v>3</v>
      </c>
      <c r="V11" s="79" t="n">
        <v>2</v>
      </c>
      <c r="W11" s="93" t="n">
        <v>3</v>
      </c>
      <c r="X11" s="94" t="n">
        <v>3</v>
      </c>
      <c r="Y11" s="84" t="n"/>
      <c r="Z11" s="104" t="n">
        <v>3</v>
      </c>
      <c r="AA11" s="84" t="n"/>
      <c r="AB11" s="84" t="n"/>
      <c r="AC11" s="84" t="n"/>
      <c r="AD11" s="84" t="n"/>
      <c r="AE11" s="84" t="n"/>
      <c r="AF11" s="84" t="n"/>
      <c r="AG11" s="84" t="n"/>
      <c r="AH11" s="111" t="n">
        <v>2</v>
      </c>
      <c r="AI11" s="84" t="n"/>
      <c r="AJ11" s="84" t="n"/>
      <c r="AK11" s="84" t="n"/>
      <c r="AL11" s="84" t="n"/>
      <c r="AM11" s="84" t="n"/>
      <c r="AN11" s="84" t="n"/>
      <c r="AO11" s="84" t="n"/>
      <c r="AP11" s="108" t="n">
        <v>2</v>
      </c>
      <c r="AQ11" s="105" t="n">
        <v>2</v>
      </c>
      <c r="AR11" s="84" t="n"/>
      <c r="AS11" s="84" t="n"/>
      <c r="AT11" s="87" t="n">
        <v>3</v>
      </c>
      <c r="AU11" s="88" t="n">
        <v>3</v>
      </c>
      <c r="AV11" s="84" t="n"/>
      <c r="AW11" s="84" t="n"/>
      <c r="AX11" s="84" t="n"/>
      <c r="AY11" s="84" t="n"/>
      <c r="AZ11" s="84" t="n"/>
      <c r="BA11" s="84" t="n"/>
      <c r="BB11" s="84" t="n"/>
      <c r="BC11" s="84" t="n"/>
      <c r="BD11" s="112" t="n">
        <v>3</v>
      </c>
      <c r="BE11" s="84" t="n"/>
      <c r="BF11" s="84" t="n"/>
      <c r="BG11" s="84" t="n"/>
      <c r="BH11" s="84" t="n"/>
      <c r="BI11" s="84" t="n"/>
      <c r="BJ11" s="83" t="inlineStr">
        <is>
          <t>(651) Enterprise Architect</t>
        </is>
      </c>
    </row>
    <row r="12" ht="16" customHeight="1">
      <c r="A12" s="3" t="inlineStr">
        <is>
          <t>(661) Research &amp; Development Specialist</t>
        </is>
      </c>
      <c r="D12" s="73" t="n">
        <v>2</v>
      </c>
      <c r="H12" s="74" t="n">
        <v>3</v>
      </c>
      <c r="J12" s="113" t="n">
        <v>3</v>
      </c>
      <c r="W12" s="93" t="n">
        <v>3</v>
      </c>
      <c r="BC12" s="114" t="n">
        <v>3</v>
      </c>
      <c r="BJ12" s="3" t="inlineStr">
        <is>
          <t>(661) Research &amp; Development Specialist</t>
        </is>
      </c>
    </row>
    <row r="13" ht="16" customHeight="1">
      <c r="A13" s="83" t="inlineStr">
        <is>
          <t>(671) System Testing and Evaluation Specialist</t>
        </is>
      </c>
      <c r="B13" s="84" t="n"/>
      <c r="C13" s="72" t="n">
        <v>1</v>
      </c>
      <c r="D13" s="73" t="n">
        <v>2</v>
      </c>
      <c r="E13" s="73" t="n">
        <v>2</v>
      </c>
      <c r="F13" s="73" t="n">
        <v>2</v>
      </c>
      <c r="G13" s="84" t="n"/>
      <c r="H13" s="84" t="n"/>
      <c r="I13" s="89" t="n">
        <v>1</v>
      </c>
      <c r="J13" s="90" t="n">
        <v>2</v>
      </c>
      <c r="K13" s="84" t="n"/>
      <c r="L13" s="84" t="n"/>
      <c r="M13" s="84" t="n"/>
      <c r="N13" s="84" t="n"/>
      <c r="O13" s="84" t="n"/>
      <c r="P13" s="84" t="n"/>
      <c r="Q13" s="84" t="n"/>
      <c r="R13" s="84" t="n"/>
      <c r="S13" s="84" t="n"/>
      <c r="T13" s="84" t="n"/>
      <c r="U13" s="84" t="n"/>
      <c r="V13" s="79" t="n">
        <v>2</v>
      </c>
      <c r="W13" s="84" t="n"/>
      <c r="X13" s="84" t="n"/>
      <c r="Y13" s="84" t="n"/>
      <c r="Z13" s="84" t="n"/>
      <c r="AA13" s="84" t="n"/>
      <c r="AB13" s="84" t="n"/>
      <c r="AC13" s="84" t="n"/>
      <c r="AD13" s="84" t="n"/>
      <c r="AE13" s="84" t="n"/>
      <c r="AF13" s="84" t="n"/>
      <c r="AG13" s="84" t="n"/>
      <c r="AH13" s="84" t="n"/>
      <c r="AI13" s="84" t="n"/>
      <c r="AJ13" s="84" t="n"/>
      <c r="AK13" s="84" t="n"/>
      <c r="AL13" s="84" t="n"/>
      <c r="AM13" s="84" t="n"/>
      <c r="AN13" s="84" t="n"/>
      <c r="AO13" s="85" t="n">
        <v>2</v>
      </c>
      <c r="AP13" s="98" t="n">
        <v>3</v>
      </c>
      <c r="AQ13" s="84" t="n"/>
      <c r="AR13" s="84" t="n"/>
      <c r="AS13" s="84" t="n"/>
      <c r="AT13" s="84" t="n"/>
      <c r="AU13" s="84" t="n"/>
      <c r="AV13" s="84" t="n"/>
      <c r="AW13" s="109" t="n">
        <v>2</v>
      </c>
      <c r="AX13" s="84" t="n"/>
      <c r="AY13" s="84" t="n"/>
      <c r="AZ13" s="84" t="n"/>
      <c r="BA13" s="84" t="n"/>
      <c r="BB13" s="84" t="n"/>
      <c r="BC13" s="84" t="n"/>
      <c r="BD13" s="84" t="n"/>
      <c r="BE13" s="84" t="n"/>
      <c r="BF13" s="84" t="n"/>
      <c r="BG13" s="84" t="n"/>
      <c r="BH13" s="84" t="n"/>
      <c r="BI13" s="84" t="n"/>
      <c r="BJ13" s="83" t="inlineStr">
        <is>
          <t>(671) System Testing and Evaluation Specialist</t>
        </is>
      </c>
    </row>
    <row r="14" ht="16" customHeight="1">
      <c r="A14" s="3" t="inlineStr">
        <is>
          <t>(212) Cyber Defense Forensics Analyst</t>
        </is>
      </c>
      <c r="F14" s="74" t="n">
        <v>3</v>
      </c>
      <c r="G14" s="115" t="n">
        <v>3</v>
      </c>
      <c r="L14" s="116" t="n">
        <v>2</v>
      </c>
      <c r="AC14" s="117" t="n">
        <v>3</v>
      </c>
      <c r="AF14" s="118" t="n">
        <v>3</v>
      </c>
      <c r="AI14" s="119" t="n">
        <v>3</v>
      </c>
      <c r="AW14" s="120" t="n">
        <v>3</v>
      </c>
      <c r="BC14" s="121" t="n">
        <v>2</v>
      </c>
      <c r="BJ14" s="3" t="inlineStr">
        <is>
          <t>(212) Cyber Defense Forensics Analyst</t>
        </is>
      </c>
    </row>
    <row r="15" ht="16" customHeight="1">
      <c r="A15" s="83" t="inlineStr">
        <is>
          <t>(511) Cyber Defense Analyst</t>
        </is>
      </c>
      <c r="B15" s="84" t="n"/>
      <c r="C15" s="84" t="n"/>
      <c r="D15" s="73" t="n">
        <v>2</v>
      </c>
      <c r="E15" s="73" t="n">
        <v>2</v>
      </c>
      <c r="F15" s="73" t="n">
        <v>2</v>
      </c>
      <c r="G15" s="115" t="n">
        <v>3</v>
      </c>
      <c r="H15" s="84" t="n"/>
      <c r="I15" s="84" t="n"/>
      <c r="J15" s="122" t="n">
        <v>1</v>
      </c>
      <c r="K15" s="123" t="n">
        <v>2</v>
      </c>
      <c r="L15" s="84" t="n"/>
      <c r="M15" s="84" t="n"/>
      <c r="N15" s="84" t="n"/>
      <c r="O15" s="124" t="n">
        <v>2</v>
      </c>
      <c r="P15" s="84" t="n"/>
      <c r="Q15" s="84" t="n"/>
      <c r="R15" s="84" t="n"/>
      <c r="S15" s="125" t="n">
        <v>1</v>
      </c>
      <c r="T15" s="126" t="n">
        <v>1</v>
      </c>
      <c r="U15" s="78" t="n">
        <v>3</v>
      </c>
      <c r="V15" s="79" t="n">
        <v>2</v>
      </c>
      <c r="W15" s="84" t="n"/>
      <c r="X15" s="94" t="n">
        <v>3</v>
      </c>
      <c r="Y15" s="84" t="n"/>
      <c r="Z15" s="84" t="n"/>
      <c r="AA15" s="84" t="n"/>
      <c r="AB15" s="127" t="n">
        <v>2</v>
      </c>
      <c r="AC15" s="84" t="n"/>
      <c r="AD15" s="84" t="n"/>
      <c r="AE15" s="84" t="n"/>
      <c r="AF15" s="118" t="n">
        <v>3</v>
      </c>
      <c r="AG15" s="84" t="n"/>
      <c r="AH15" s="111" t="n">
        <v>2</v>
      </c>
      <c r="AI15" s="84" t="n"/>
      <c r="AJ15" s="128" t="n">
        <v>2</v>
      </c>
      <c r="AK15" s="129" t="n">
        <v>2</v>
      </c>
      <c r="AL15" s="84" t="n"/>
      <c r="AM15" s="84" t="n"/>
      <c r="AN15" s="130" t="n">
        <v>1</v>
      </c>
      <c r="AO15" s="84" t="n"/>
      <c r="AP15" s="84" t="n"/>
      <c r="AQ15" s="84" t="n"/>
      <c r="AR15" s="84" t="n"/>
      <c r="AS15" s="84" t="n"/>
      <c r="AT15" s="84" t="n"/>
      <c r="AU15" s="84" t="n"/>
      <c r="AV15" s="84" t="n"/>
      <c r="AW15" s="120" t="n">
        <v>3</v>
      </c>
      <c r="AX15" s="84" t="n"/>
      <c r="AY15" s="84" t="n"/>
      <c r="AZ15" s="131" t="n">
        <v>3</v>
      </c>
      <c r="BA15" s="84" t="n"/>
      <c r="BB15" s="84" t="n"/>
      <c r="BC15" s="84" t="n"/>
      <c r="BD15" s="84" t="n"/>
      <c r="BE15" s="84" t="n"/>
      <c r="BF15" s="84" t="n"/>
      <c r="BG15" s="84" t="n"/>
      <c r="BH15" s="84" t="n"/>
      <c r="BI15" s="84" t="n"/>
      <c r="BJ15" s="83" t="inlineStr">
        <is>
          <t>(511) Cyber Defense Analyst</t>
        </is>
      </c>
    </row>
    <row r="16" ht="16" customHeight="1">
      <c r="A16" s="3" t="inlineStr">
        <is>
          <t>(521) Cyber Defense Infrastructure Support Specialist</t>
        </is>
      </c>
      <c r="B16" s="72" t="n">
        <v>1</v>
      </c>
      <c r="C16" s="72" t="n">
        <v>1</v>
      </c>
      <c r="D16" s="73" t="n">
        <v>2</v>
      </c>
      <c r="E16" s="73" t="n">
        <v>2</v>
      </c>
      <c r="F16" s="73" t="n">
        <v>2</v>
      </c>
      <c r="G16" s="132" t="n">
        <v>2</v>
      </c>
      <c r="I16" s="89" t="n">
        <v>1</v>
      </c>
      <c r="J16" s="90" t="n">
        <v>2</v>
      </c>
      <c r="T16" s="126" t="n">
        <v>1</v>
      </c>
      <c r="U16" s="78" t="n">
        <v>3</v>
      </c>
      <c r="V16" s="79" t="n">
        <v>2</v>
      </c>
      <c r="W16" s="133" t="n">
        <v>1</v>
      </c>
      <c r="X16" s="94" t="n">
        <v>3</v>
      </c>
      <c r="AH16" s="134" t="n">
        <v>1</v>
      </c>
      <c r="AJ16" s="128" t="n">
        <v>2</v>
      </c>
      <c r="AK16" s="129" t="n">
        <v>2</v>
      </c>
      <c r="AN16" s="130" t="n">
        <v>1</v>
      </c>
      <c r="AO16" s="85" t="n">
        <v>2</v>
      </c>
      <c r="AT16" s="87" t="n">
        <v>3</v>
      </c>
      <c r="AU16" s="88" t="n">
        <v>3</v>
      </c>
      <c r="BJ16" s="3" t="inlineStr">
        <is>
          <t>(521) Cyber Defense Infrastructure Support Specialist</t>
        </is>
      </c>
    </row>
    <row r="17" ht="16" customHeight="1">
      <c r="A17" s="83" t="inlineStr">
        <is>
          <t>(531) Cyber Defense Incident Responder</t>
        </is>
      </c>
      <c r="B17" s="84" t="n"/>
      <c r="C17" s="84" t="n"/>
      <c r="D17" s="73" t="n">
        <v>2</v>
      </c>
      <c r="E17" s="73" t="n">
        <v>2</v>
      </c>
      <c r="F17" s="73" t="n">
        <v>2</v>
      </c>
      <c r="G17" s="115" t="n">
        <v>3</v>
      </c>
      <c r="H17" s="84" t="n"/>
      <c r="I17" s="84" t="n"/>
      <c r="J17" s="90" t="n">
        <v>2</v>
      </c>
      <c r="K17" s="123" t="n">
        <v>2</v>
      </c>
      <c r="L17" s="84" t="n"/>
      <c r="M17" s="135" t="n">
        <v>2</v>
      </c>
      <c r="N17" s="84" t="n"/>
      <c r="O17" s="124" t="n">
        <v>2</v>
      </c>
      <c r="P17" s="84" t="n"/>
      <c r="Q17" s="84" t="n"/>
      <c r="R17" s="84" t="n"/>
      <c r="S17" s="125" t="n">
        <v>1</v>
      </c>
      <c r="T17" s="84" t="n"/>
      <c r="U17" s="78" t="n">
        <v>3</v>
      </c>
      <c r="V17" s="79" t="n">
        <v>2</v>
      </c>
      <c r="W17" s="84" t="n"/>
      <c r="X17" s="94" t="n">
        <v>3</v>
      </c>
      <c r="Y17" s="95" t="n">
        <v>2</v>
      </c>
      <c r="Z17" s="84" t="n"/>
      <c r="AA17" s="84" t="n"/>
      <c r="AB17" s="127" t="n">
        <v>2</v>
      </c>
      <c r="AC17" s="84" t="n"/>
      <c r="AD17" s="84" t="n"/>
      <c r="AE17" s="84" t="n"/>
      <c r="AF17" s="118" t="n">
        <v>3</v>
      </c>
      <c r="AG17" s="84" t="n"/>
      <c r="AH17" s="134" t="n">
        <v>1</v>
      </c>
      <c r="AI17" s="84" t="n"/>
      <c r="AJ17" s="84" t="n"/>
      <c r="AK17" s="129" t="n">
        <v>2</v>
      </c>
      <c r="AL17" s="84" t="n"/>
      <c r="AM17" s="84" t="n"/>
      <c r="AN17" s="130" t="n">
        <v>1</v>
      </c>
      <c r="AO17" s="84" t="n"/>
      <c r="AP17" s="108" t="n">
        <v>2</v>
      </c>
      <c r="AQ17" s="84" t="n"/>
      <c r="AR17" s="84" t="n"/>
      <c r="AS17" s="84" t="n"/>
      <c r="AT17" s="84" t="n"/>
      <c r="AU17" s="84" t="n"/>
      <c r="AV17" s="84" t="n"/>
      <c r="AW17" s="120" t="n">
        <v>3</v>
      </c>
      <c r="AX17" s="84" t="n"/>
      <c r="AY17" s="84" t="n"/>
      <c r="AZ17" s="136" t="n">
        <v>2</v>
      </c>
      <c r="BA17" s="84" t="n"/>
      <c r="BB17" s="84" t="n"/>
      <c r="BC17" s="121" t="n">
        <v>2</v>
      </c>
      <c r="BD17" s="84" t="n"/>
      <c r="BE17" s="84" t="n"/>
      <c r="BF17" s="84" t="n"/>
      <c r="BG17" s="84" t="n"/>
      <c r="BH17" s="84" t="n"/>
      <c r="BI17" s="84" t="n"/>
      <c r="BJ17" s="83" t="inlineStr">
        <is>
          <t>(531) Cyber Defense Incident Responder</t>
        </is>
      </c>
    </row>
    <row r="18" ht="16" customHeight="1">
      <c r="A18" s="3" t="inlineStr">
        <is>
          <t>(541) Vulnerability Assessment Analyst</t>
        </is>
      </c>
      <c r="D18" s="73" t="n">
        <v>2</v>
      </c>
      <c r="E18" s="73" t="n">
        <v>2</v>
      </c>
      <c r="F18" s="73" t="n">
        <v>2</v>
      </c>
      <c r="G18" s="115" t="n">
        <v>3</v>
      </c>
      <c r="J18" s="122" t="n">
        <v>1</v>
      </c>
      <c r="K18" s="123" t="n">
        <v>2</v>
      </c>
      <c r="Q18" s="137" t="n">
        <v>2</v>
      </c>
      <c r="U18" s="92" t="n">
        <v>2</v>
      </c>
      <c r="V18" s="79" t="n">
        <v>2</v>
      </c>
      <c r="Y18" s="95" t="n">
        <v>2</v>
      </c>
      <c r="Z18" s="138" t="n">
        <v>2</v>
      </c>
      <c r="AA18" s="139" t="n">
        <v>3</v>
      </c>
      <c r="AB18" s="127" t="n">
        <v>2</v>
      </c>
      <c r="AE18" s="140" t="n">
        <v>3</v>
      </c>
      <c r="AL18" s="80" t="n">
        <v>3</v>
      </c>
      <c r="AM18" s="141" t="n">
        <v>3</v>
      </c>
      <c r="AW18" s="120" t="n">
        <v>3</v>
      </c>
      <c r="BC18" s="121" t="n">
        <v>2</v>
      </c>
      <c r="BE18" s="142" t="n">
        <v>2</v>
      </c>
      <c r="BJ18" s="3" t="inlineStr">
        <is>
          <t>(541) Vulnerability Assessment Analyst</t>
        </is>
      </c>
    </row>
    <row r="19" ht="16" customHeight="1">
      <c r="A19" s="83" t="inlineStr">
        <is>
          <t>(611) Authorizing Official/Designated Representative</t>
        </is>
      </c>
      <c r="B19" s="84" t="n"/>
      <c r="C19" s="84" t="n"/>
      <c r="D19" s="84" t="n"/>
      <c r="E19" s="73" t="n">
        <v>2</v>
      </c>
      <c r="F19" s="84" t="n"/>
      <c r="G19" s="84" t="n"/>
      <c r="H19" s="84" t="n"/>
      <c r="I19" s="84" t="n"/>
      <c r="J19" s="84" t="n"/>
      <c r="K19" s="84" t="n"/>
      <c r="L19" s="84" t="n"/>
      <c r="M19" s="84" t="n"/>
      <c r="N19" s="143" t="n">
        <v>3</v>
      </c>
      <c r="O19" s="84" t="n"/>
      <c r="P19" s="84" t="n"/>
      <c r="Q19" s="84" t="n"/>
      <c r="R19" s="144" t="n">
        <v>3</v>
      </c>
      <c r="S19" s="84" t="n"/>
      <c r="T19" s="84" t="n"/>
      <c r="U19" s="84" t="n"/>
      <c r="V19" s="79" t="n">
        <v>2</v>
      </c>
      <c r="W19" s="84" t="n"/>
      <c r="X19" s="84" t="n"/>
      <c r="Y19" s="84" t="n"/>
      <c r="Z19" s="104" t="n">
        <v>3</v>
      </c>
      <c r="AA19" s="84" t="n"/>
      <c r="AB19" s="84" t="n"/>
      <c r="AC19" s="84" t="n"/>
      <c r="AD19" s="107" t="n">
        <v>3</v>
      </c>
      <c r="AE19" s="84" t="n"/>
      <c r="AF19" s="84" t="n"/>
      <c r="AG19" s="84" t="n"/>
      <c r="AH19" s="84" t="n"/>
      <c r="AI19" s="84" t="n"/>
      <c r="AJ19" s="84" t="n"/>
      <c r="AK19" s="84" t="n"/>
      <c r="AL19" s="84" t="n"/>
      <c r="AM19" s="141" t="n">
        <v>3</v>
      </c>
      <c r="AN19" s="84" t="n"/>
      <c r="AO19" s="84" t="n"/>
      <c r="AP19" s="108" t="n">
        <v>2</v>
      </c>
      <c r="AQ19" s="84" t="n"/>
      <c r="AR19" s="145" t="n">
        <v>2</v>
      </c>
      <c r="AS19" s="86" t="n">
        <v>3</v>
      </c>
      <c r="AT19" s="84" t="n"/>
      <c r="AU19" s="88" t="n">
        <v>3</v>
      </c>
      <c r="AV19" s="146" t="n">
        <v>3</v>
      </c>
      <c r="AW19" s="84" t="n"/>
      <c r="AX19" s="84" t="n"/>
      <c r="AY19" s="84" t="n"/>
      <c r="AZ19" s="84" t="n"/>
      <c r="BA19" s="84" t="n"/>
      <c r="BB19" s="84" t="n"/>
      <c r="BC19" s="84" t="n"/>
      <c r="BD19" s="84" t="n"/>
      <c r="BE19" s="84" t="n"/>
      <c r="BF19" s="84" t="n"/>
      <c r="BG19" s="84" t="n"/>
      <c r="BH19" s="84" t="n"/>
      <c r="BI19" s="84" t="n"/>
      <c r="BJ19" s="83" t="inlineStr">
        <is>
          <t>(611) Authorizing Official/Designated Representative</t>
        </is>
      </c>
    </row>
    <row r="20" ht="16" customHeight="1">
      <c r="A20" s="3" t="inlineStr">
        <is>
          <t>(612) Security Control Assessor</t>
        </is>
      </c>
      <c r="D20" s="73" t="n">
        <v>2</v>
      </c>
      <c r="E20" s="73" t="n">
        <v>2</v>
      </c>
      <c r="F20" s="73" t="n">
        <v>2</v>
      </c>
      <c r="G20" s="115" t="n">
        <v>3</v>
      </c>
      <c r="H20" s="73" t="n">
        <v>2</v>
      </c>
      <c r="N20" s="143" t="n">
        <v>3</v>
      </c>
      <c r="Q20" s="137" t="n">
        <v>2</v>
      </c>
      <c r="V20" s="79" t="n">
        <v>2</v>
      </c>
      <c r="Z20" s="138" t="n">
        <v>2</v>
      </c>
      <c r="AD20" s="107" t="n">
        <v>3</v>
      </c>
      <c r="AE20" s="140" t="n">
        <v>3</v>
      </c>
      <c r="AL20" s="80" t="n">
        <v>3</v>
      </c>
      <c r="AM20" s="141" t="n">
        <v>3</v>
      </c>
      <c r="AR20" s="145" t="n">
        <v>2</v>
      </c>
      <c r="AS20" s="86" t="n">
        <v>3</v>
      </c>
      <c r="AU20" s="88" t="n">
        <v>3</v>
      </c>
      <c r="BD20" s="147" t="n">
        <v>2</v>
      </c>
      <c r="BJ20" s="3" t="inlineStr">
        <is>
          <t>(612) Security Control Assessor</t>
        </is>
      </c>
    </row>
    <row r="21" ht="16" customHeight="1">
      <c r="A21" s="83" t="inlineStr">
        <is>
          <t>(622) Secure Software Assessor</t>
        </is>
      </c>
      <c r="B21" s="84" t="n"/>
      <c r="C21" s="84" t="n"/>
      <c r="D21" s="73" t="n">
        <v>2</v>
      </c>
      <c r="E21" s="84" t="n"/>
      <c r="F21" s="84" t="n"/>
      <c r="G21" s="84" t="n"/>
      <c r="H21" s="84" t="n"/>
      <c r="I21" s="84" t="n"/>
      <c r="J21" s="84" t="n"/>
      <c r="K21" s="84" t="n"/>
      <c r="L21" s="84" t="n"/>
      <c r="M21" s="84" t="n"/>
      <c r="N21" s="84" t="n"/>
      <c r="O21" s="84" t="n"/>
      <c r="P21" s="84" t="n"/>
      <c r="Q21" s="84" t="n"/>
      <c r="R21" s="84" t="n"/>
      <c r="S21" s="84" t="n"/>
      <c r="T21" s="84" t="n"/>
      <c r="U21" s="84" t="n"/>
      <c r="V21" s="79" t="n">
        <v>2</v>
      </c>
      <c r="W21" s="133" t="n">
        <v>1</v>
      </c>
      <c r="X21" s="84" t="n"/>
      <c r="Y21" s="84" t="n"/>
      <c r="Z21" s="138" t="n">
        <v>2</v>
      </c>
      <c r="AA21" s="84" t="n"/>
      <c r="AB21" s="84" t="n"/>
      <c r="AC21" s="84" t="n"/>
      <c r="AD21" s="84" t="n"/>
      <c r="AE21" s="84" t="n"/>
      <c r="AF21" s="84" t="n"/>
      <c r="AG21" s="84" t="n"/>
      <c r="AH21" s="84" t="n"/>
      <c r="AI21" s="84" t="n"/>
      <c r="AJ21" s="84" t="n"/>
      <c r="AK21" s="84" t="n"/>
      <c r="AL21" s="84" t="n"/>
      <c r="AM21" s="84" t="n"/>
      <c r="AN21" s="84" t="n"/>
      <c r="AO21" s="84" t="n"/>
      <c r="AP21" s="84" t="n"/>
      <c r="AQ21" s="105" t="n">
        <v>2</v>
      </c>
      <c r="AR21" s="84" t="n"/>
      <c r="AS21" s="84" t="n"/>
      <c r="AT21" s="84" t="n"/>
      <c r="AU21" s="88" t="n">
        <v>3</v>
      </c>
      <c r="AV21" s="84" t="n"/>
      <c r="AW21" s="84" t="n"/>
      <c r="AX21" s="148" t="n">
        <v>2</v>
      </c>
      <c r="AY21" s="84" t="n"/>
      <c r="AZ21" s="84" t="n"/>
      <c r="BA21" s="84" t="n"/>
      <c r="BB21" s="84" t="n"/>
      <c r="BC21" s="84" t="n"/>
      <c r="BD21" s="84" t="n"/>
      <c r="BE21" s="84" t="n"/>
      <c r="BF21" s="84" t="n"/>
      <c r="BG21" s="84" t="n"/>
      <c r="BH21" s="84" t="n"/>
      <c r="BI21" s="84" t="n"/>
      <c r="BJ21" s="83" t="inlineStr">
        <is>
          <t>(622) Secure Software Assessor</t>
        </is>
      </c>
    </row>
    <row r="22" ht="16" customHeight="1">
      <c r="A22" s="3" t="inlineStr">
        <is>
          <t>(631) Information Systems Security Developer</t>
        </is>
      </c>
      <c r="E22" s="73" t="n">
        <v>2</v>
      </c>
      <c r="H22" s="73" t="n">
        <v>2</v>
      </c>
      <c r="I22" s="89" t="n">
        <v>1</v>
      </c>
      <c r="P22" s="101" t="n">
        <v>3</v>
      </c>
      <c r="S22" s="125" t="n">
        <v>1</v>
      </c>
      <c r="V22" s="79" t="n">
        <v>2</v>
      </c>
      <c r="W22" s="103" t="n">
        <v>2</v>
      </c>
      <c r="Z22" s="138" t="n">
        <v>2</v>
      </c>
      <c r="AN22" s="130" t="n">
        <v>1</v>
      </c>
      <c r="AO22" s="149" t="n">
        <v>1</v>
      </c>
      <c r="AP22" s="108" t="n">
        <v>2</v>
      </c>
      <c r="AU22" s="88" t="n">
        <v>3</v>
      </c>
      <c r="AX22" s="148" t="n">
        <v>2</v>
      </c>
      <c r="BJ22" s="3" t="inlineStr">
        <is>
          <t>(631) Information Systems Security Developer</t>
        </is>
      </c>
    </row>
    <row r="23" ht="16" customHeight="1">
      <c r="A23" s="83" t="inlineStr">
        <is>
          <t>(652) Security Architect</t>
        </is>
      </c>
      <c r="B23" s="84" t="n"/>
      <c r="C23" s="84" t="n"/>
      <c r="D23" s="84" t="n"/>
      <c r="E23" s="73" t="n">
        <v>2</v>
      </c>
      <c r="F23" s="84" t="n"/>
      <c r="G23" s="84" t="n"/>
      <c r="H23" s="73" t="n">
        <v>2</v>
      </c>
      <c r="I23" s="84" t="n"/>
      <c r="J23" s="84" t="n"/>
      <c r="K23" s="84" t="n"/>
      <c r="L23" s="84" t="n"/>
      <c r="M23" s="84" t="n"/>
      <c r="N23" s="84" t="n"/>
      <c r="O23" s="84" t="n"/>
      <c r="P23" s="110" t="n">
        <v>2</v>
      </c>
      <c r="Q23" s="84" t="n"/>
      <c r="R23" s="84" t="n"/>
      <c r="S23" s="125" t="n">
        <v>1</v>
      </c>
      <c r="T23" s="84" t="n"/>
      <c r="U23" s="78" t="n">
        <v>3</v>
      </c>
      <c r="V23" s="79" t="n">
        <v>2</v>
      </c>
      <c r="W23" s="133" t="n">
        <v>1</v>
      </c>
      <c r="X23" s="94" t="n">
        <v>3</v>
      </c>
      <c r="Y23" s="84" t="n"/>
      <c r="Z23" s="138" t="n">
        <v>2</v>
      </c>
      <c r="AA23" s="84" t="n"/>
      <c r="AB23" s="84" t="n"/>
      <c r="AC23" s="84" t="n"/>
      <c r="AD23" s="84" t="n"/>
      <c r="AE23" s="84" t="n"/>
      <c r="AF23" s="84" t="n"/>
      <c r="AG23" s="84" t="n"/>
      <c r="AH23" s="97" t="n">
        <v>3</v>
      </c>
      <c r="AI23" s="84" t="n"/>
      <c r="AJ23" s="128" t="n">
        <v>2</v>
      </c>
      <c r="AK23" s="84" t="n"/>
      <c r="AL23" s="84" t="n"/>
      <c r="AM23" s="141" t="n">
        <v>3</v>
      </c>
      <c r="AN23" s="84" t="n"/>
      <c r="AO23" s="84" t="n"/>
      <c r="AP23" s="108" t="n">
        <v>2</v>
      </c>
      <c r="AQ23" s="105" t="n">
        <v>2</v>
      </c>
      <c r="AR23" s="84" t="n"/>
      <c r="AS23" s="84" t="n"/>
      <c r="AT23" s="87" t="n">
        <v>3</v>
      </c>
      <c r="AU23" s="88" t="n">
        <v>3</v>
      </c>
      <c r="AV23" s="84" t="n"/>
      <c r="AW23" s="84" t="n"/>
      <c r="AX23" s="84" t="n"/>
      <c r="AY23" s="84" t="n"/>
      <c r="AZ23" s="84" t="n"/>
      <c r="BA23" s="84" t="n"/>
      <c r="BB23" s="150" t="n">
        <v>3</v>
      </c>
      <c r="BC23" s="84" t="n"/>
      <c r="BD23" s="147" t="n">
        <v>2</v>
      </c>
      <c r="BE23" s="84" t="n"/>
      <c r="BF23" s="84" t="n"/>
      <c r="BG23" s="84" t="n"/>
      <c r="BH23" s="84" t="n"/>
      <c r="BI23" s="84" t="n"/>
      <c r="BJ23" s="83" t="inlineStr">
        <is>
          <t>(652) Security Architect</t>
        </is>
      </c>
    </row>
    <row r="24" ht="16" customHeight="1">
      <c r="A24" s="3" t="inlineStr">
        <is>
          <t>(722) Information Systems Security Manager</t>
        </is>
      </c>
      <c r="D24" s="73" t="n">
        <v>2</v>
      </c>
      <c r="E24" s="73" t="n">
        <v>2</v>
      </c>
      <c r="H24" s="73" t="n">
        <v>2</v>
      </c>
      <c r="N24" s="151" t="n">
        <v>2</v>
      </c>
      <c r="R24" s="144" t="n">
        <v>3</v>
      </c>
      <c r="U24" s="78" t="n">
        <v>3</v>
      </c>
      <c r="V24" s="79" t="n">
        <v>2</v>
      </c>
      <c r="X24" s="94" t="n">
        <v>3</v>
      </c>
      <c r="Y24" s="152" t="n">
        <v>3</v>
      </c>
      <c r="Z24" s="138" t="n">
        <v>2</v>
      </c>
      <c r="AD24" s="107" t="n">
        <v>3</v>
      </c>
      <c r="AJ24" s="128" t="n">
        <v>2</v>
      </c>
      <c r="AM24" s="141" t="n">
        <v>3</v>
      </c>
      <c r="AN24" s="130" t="n">
        <v>1</v>
      </c>
      <c r="AO24" s="85" t="n">
        <v>2</v>
      </c>
      <c r="AP24" s="108" t="n">
        <v>2</v>
      </c>
      <c r="AR24" s="145" t="n">
        <v>2</v>
      </c>
      <c r="AS24" s="86" t="n">
        <v>3</v>
      </c>
      <c r="AV24" s="146" t="n">
        <v>3</v>
      </c>
      <c r="BD24" s="147" t="n">
        <v>2</v>
      </c>
      <c r="BJ24" s="3" t="inlineStr">
        <is>
          <t>(722) Information Systems Security Manager</t>
        </is>
      </c>
    </row>
    <row r="25" ht="16" customHeight="1">
      <c r="A25" s="83" t="inlineStr">
        <is>
          <t>(723) COMSEC Manager</t>
        </is>
      </c>
      <c r="B25" s="84" t="n"/>
      <c r="C25" s="84" t="n"/>
      <c r="D25" s="84" t="n"/>
      <c r="E25" s="84" t="n"/>
      <c r="F25" s="84" t="n"/>
      <c r="G25" s="84" t="n"/>
      <c r="H25" s="84" t="n"/>
      <c r="I25" s="84" t="n"/>
      <c r="J25" s="84" t="n"/>
      <c r="K25" s="84" t="n"/>
      <c r="L25" s="84" t="n"/>
      <c r="M25" s="84" t="n"/>
      <c r="N25" s="84" t="n"/>
      <c r="O25" s="84" t="n"/>
      <c r="P25" s="84" t="n"/>
      <c r="Q25" s="84" t="n"/>
      <c r="R25" s="144" t="n">
        <v>3</v>
      </c>
      <c r="S25" s="84" t="n"/>
      <c r="T25" s="84" t="n"/>
      <c r="U25" s="78" t="n">
        <v>3</v>
      </c>
      <c r="V25" s="79" t="n">
        <v>2</v>
      </c>
      <c r="W25" s="84" t="n"/>
      <c r="X25" s="84" t="n"/>
      <c r="Y25" s="152" t="n">
        <v>3</v>
      </c>
      <c r="Z25" s="104" t="n">
        <v>3</v>
      </c>
      <c r="AA25" s="84" t="n"/>
      <c r="AB25" s="84" t="n"/>
      <c r="AC25" s="84" t="n"/>
      <c r="AD25" s="107" t="n">
        <v>3</v>
      </c>
      <c r="AE25" s="84" t="n"/>
      <c r="AF25" s="84" t="n"/>
      <c r="AG25" s="84" t="n"/>
      <c r="AH25" s="84" t="n"/>
      <c r="AI25" s="84" t="n"/>
      <c r="AJ25" s="84" t="n"/>
      <c r="AK25" s="84" t="n"/>
      <c r="AL25" s="84" t="n"/>
      <c r="AM25" s="141" t="n">
        <v>3</v>
      </c>
      <c r="AN25" s="84" t="n"/>
      <c r="AO25" s="84" t="n"/>
      <c r="AP25" s="84" t="n"/>
      <c r="AQ25" s="84" t="n"/>
      <c r="AR25" s="84" t="n"/>
      <c r="AS25" s="84" t="n"/>
      <c r="AT25" s="84" t="n"/>
      <c r="AU25" s="84" t="n"/>
      <c r="AV25" s="84" t="n"/>
      <c r="AW25" s="84" t="n"/>
      <c r="AX25" s="84" t="n"/>
      <c r="AY25" s="84" t="n"/>
      <c r="AZ25" s="84" t="n"/>
      <c r="BA25" s="84" t="n"/>
      <c r="BB25" s="84" t="n"/>
      <c r="BC25" s="84" t="n"/>
      <c r="BD25" s="112" t="n">
        <v>3</v>
      </c>
      <c r="BE25" s="84" t="n"/>
      <c r="BF25" s="84" t="n"/>
      <c r="BG25" s="84" t="n"/>
      <c r="BH25" s="84" t="n"/>
      <c r="BI25" s="84" t="n"/>
      <c r="BJ25" s="83" t="inlineStr">
        <is>
          <t>(723) COMSEC Manager</t>
        </is>
      </c>
    </row>
    <row r="26" ht="16" customHeight="1">
      <c r="A26" s="3" t="inlineStr">
        <is>
          <t>(461) Systems Security Analyst</t>
        </is>
      </c>
      <c r="D26" s="73" t="n">
        <v>2</v>
      </c>
      <c r="E26" s="73" t="n">
        <v>2</v>
      </c>
      <c r="G26" s="115" t="n">
        <v>3</v>
      </c>
      <c r="I26" s="89" t="n">
        <v>1</v>
      </c>
      <c r="O26" s="76" t="n">
        <v>3</v>
      </c>
      <c r="S26" s="153" t="n">
        <v>2</v>
      </c>
      <c r="U26" s="92" t="n">
        <v>2</v>
      </c>
      <c r="V26" s="79" t="n">
        <v>2</v>
      </c>
      <c r="W26" s="93" t="n">
        <v>3</v>
      </c>
      <c r="Z26" s="104" t="n">
        <v>3</v>
      </c>
      <c r="AE26" s="140" t="n">
        <v>3</v>
      </c>
      <c r="AO26" s="149" t="n">
        <v>1</v>
      </c>
      <c r="AP26" s="108" t="n">
        <v>2</v>
      </c>
      <c r="AU26" s="88" t="n">
        <v>3</v>
      </c>
      <c r="BC26" s="114" t="n">
        <v>3</v>
      </c>
      <c r="BD26" s="112" t="n">
        <v>3</v>
      </c>
      <c r="BJ26" s="3" t="inlineStr">
        <is>
          <t>(461) Systems Security Analyst</t>
        </is>
      </c>
    </row>
    <row r="27" ht="16" customHeight="1">
      <c r="A27" s="83" t="inlineStr">
        <is>
          <t>(621) Software Developer</t>
        </is>
      </c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79" t="n">
        <v>2</v>
      </c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  <c r="AK27" s="84" t="n"/>
      <c r="AL27" s="84" t="n"/>
      <c r="AM27" s="84" t="n"/>
      <c r="AN27" s="84" t="n"/>
      <c r="AO27" s="84" t="n"/>
      <c r="AP27" s="84" t="n"/>
      <c r="AQ27" s="105" t="n">
        <v>2</v>
      </c>
      <c r="AR27" s="84" t="n"/>
      <c r="AS27" s="84" t="n"/>
      <c r="AT27" s="87" t="n">
        <v>3</v>
      </c>
      <c r="AU27" s="84" t="n"/>
      <c r="AV27" s="84" t="n"/>
      <c r="AW27" s="84" t="n"/>
      <c r="AX27" s="84" t="n"/>
      <c r="AY27" s="84" t="n"/>
      <c r="AZ27" s="84" t="n"/>
      <c r="BA27" s="84" t="n"/>
      <c r="BB27" s="84" t="n"/>
      <c r="BC27" s="84" t="n"/>
      <c r="BD27" s="84" t="n"/>
      <c r="BE27" s="84" t="n"/>
      <c r="BF27" s="84" t="n"/>
      <c r="BG27" s="84" t="n"/>
      <c r="BH27" s="84" t="n"/>
      <c r="BI27" s="84" t="n"/>
      <c r="BJ27" s="83" t="inlineStr">
        <is>
          <t>(621) Software Developer</t>
        </is>
      </c>
    </row>
    <row r="28" ht="16" customHeight="1">
      <c r="A28" s="3" t="inlineStr">
        <is>
          <t>(422) Data Analyst</t>
        </is>
      </c>
      <c r="N28" s="143" t="n">
        <v>3</v>
      </c>
      <c r="V28" s="79" t="n">
        <v>2</v>
      </c>
      <c r="AD28" s="107" t="n">
        <v>3</v>
      </c>
      <c r="AM28" s="141" t="n">
        <v>3</v>
      </c>
      <c r="AO28" s="85" t="n">
        <v>2</v>
      </c>
      <c r="AS28" s="86" t="n">
        <v>3</v>
      </c>
      <c r="BJ28" s="3" t="inlineStr">
        <is>
          <t>(422) Data Analyst</t>
        </is>
      </c>
    </row>
    <row r="29" ht="22" customHeight="1">
      <c r="A29" s="154" t="inlineStr">
        <is>
          <t>CY 101 (40-hour online course) satisfies DoD 8140 foundational qualification requirements for all Cyber Enabler work roles below (validate with DoD under V2.1)</t>
        </is>
      </c>
    </row>
    <row r="30" ht="16" customHeight="1">
      <c r="A30" s="83" t="inlineStr">
        <is>
          <t>(211) Forensics Analyst</t>
        </is>
      </c>
      <c r="B30" s="84" t="n"/>
      <c r="C30" s="84" t="n"/>
      <c r="D30" s="84" t="n"/>
      <c r="E30" s="84" t="n"/>
      <c r="F30" s="73" t="n">
        <v>2</v>
      </c>
      <c r="G30" s="115" t="n">
        <v>3</v>
      </c>
      <c r="H30" s="84" t="n"/>
      <c r="I30" s="84" t="n"/>
      <c r="J30" s="84" t="n"/>
      <c r="K30" s="84" t="n"/>
      <c r="L30" s="116" t="n">
        <v>2</v>
      </c>
      <c r="M30" s="84" t="n"/>
      <c r="N30" s="84" t="n"/>
      <c r="O30" s="84" t="n"/>
      <c r="P30" s="84" t="n"/>
      <c r="Q30" s="84" t="n"/>
      <c r="R30" s="84" t="n"/>
      <c r="S30" s="84" t="n"/>
      <c r="T30" s="84" t="n"/>
      <c r="U30" s="84" t="n"/>
      <c r="V30" s="84" t="n"/>
      <c r="W30" s="84" t="n"/>
      <c r="X30" s="84" t="n"/>
      <c r="Y30" s="84" t="n"/>
      <c r="Z30" s="84" t="n"/>
      <c r="AA30" s="84" t="n"/>
      <c r="AB30" s="84" t="n"/>
      <c r="AC30" s="117" t="n">
        <v>3</v>
      </c>
      <c r="AD30" s="84" t="n"/>
      <c r="AE30" s="84" t="n"/>
      <c r="AF30" s="118" t="n">
        <v>3</v>
      </c>
      <c r="AG30" s="84" t="n"/>
      <c r="AH30" s="84" t="n"/>
      <c r="AI30" s="84" t="n"/>
      <c r="AJ30" s="84" t="n"/>
      <c r="AK30" s="84" t="n"/>
      <c r="AL30" s="84" t="n"/>
      <c r="AM30" s="84" t="n"/>
      <c r="AN30" s="84" t="n"/>
      <c r="AO30" s="84" t="n"/>
      <c r="AP30" s="84" t="n"/>
      <c r="AQ30" s="84" t="n"/>
      <c r="AR30" s="84" t="n"/>
      <c r="AS30" s="84" t="n"/>
      <c r="AT30" s="84" t="n"/>
      <c r="AU30" s="84" t="n"/>
      <c r="AV30" s="84" t="n"/>
      <c r="AW30" s="120" t="n">
        <v>3</v>
      </c>
      <c r="AX30" s="84" t="n"/>
      <c r="AY30" s="84" t="n"/>
      <c r="AZ30" s="84" t="n"/>
      <c r="BA30" s="84" t="n"/>
      <c r="BB30" s="84" t="n"/>
      <c r="BC30" s="114" t="n">
        <v>3</v>
      </c>
      <c r="BD30" s="84" t="n"/>
      <c r="BE30" s="84" t="n"/>
      <c r="BF30" s="84" t="n"/>
      <c r="BG30" s="84" t="n"/>
      <c r="BH30" s="84" t="n"/>
      <c r="BI30" s="84" t="n"/>
      <c r="BJ30" s="83" t="inlineStr">
        <is>
          <t>(211) Forensics Analyst</t>
        </is>
      </c>
    </row>
    <row r="31" ht="16" customHeight="1">
      <c r="A31" s="3" t="inlineStr">
        <is>
          <t>(221) Cyber Crime Investigator</t>
        </is>
      </c>
      <c r="F31" s="73" t="n">
        <v>2</v>
      </c>
      <c r="G31" s="115" t="n">
        <v>3</v>
      </c>
      <c r="H31" s="74" t="n">
        <v>3</v>
      </c>
      <c r="L31" s="116" t="n">
        <v>2</v>
      </c>
      <c r="Y31" s="155" t="n">
        <v>1</v>
      </c>
      <c r="AC31" s="117" t="n">
        <v>3</v>
      </c>
      <c r="AF31" s="118" t="n">
        <v>3</v>
      </c>
      <c r="AW31" s="120" t="n">
        <v>3</v>
      </c>
      <c r="BJ31" s="3" t="inlineStr">
        <is>
          <t>(221) Cyber Crime Investigator</t>
        </is>
      </c>
    </row>
    <row r="32" ht="16" customHeight="1">
      <c r="A32" s="83" t="inlineStr">
        <is>
          <t>(711) Cyber Instructional Curriculum Developer</t>
        </is>
      </c>
      <c r="B32" s="84" t="n"/>
      <c r="C32" s="84" t="n"/>
      <c r="D32" s="84" t="n"/>
      <c r="E32" s="84" t="n"/>
      <c r="F32" s="84" t="n"/>
      <c r="G32" s="84" t="n"/>
      <c r="H32" s="84" t="n"/>
      <c r="I32" s="84" t="n"/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n"/>
      <c r="S32" s="84" t="n"/>
      <c r="T32" s="84" t="n"/>
      <c r="U32" s="84" t="n"/>
      <c r="V32" s="79" t="n">
        <v>2</v>
      </c>
      <c r="W32" s="84" t="n"/>
      <c r="X32" s="84" t="n"/>
      <c r="Y32" s="84" t="n"/>
      <c r="Z32" s="84" t="n"/>
      <c r="AA32" s="84" t="n"/>
      <c r="AB32" s="84" t="n"/>
      <c r="AC32" s="84" t="n"/>
      <c r="AD32" s="84" t="n"/>
      <c r="AE32" s="84" t="n"/>
      <c r="AF32" s="84" t="n"/>
      <c r="AG32" s="84" t="n"/>
      <c r="AH32" s="84" t="n"/>
      <c r="AI32" s="84" t="n"/>
      <c r="AJ32" s="84" t="n"/>
      <c r="AK32" s="84" t="n"/>
      <c r="AL32" s="84" t="n"/>
      <c r="AM32" s="84" t="n"/>
      <c r="AN32" s="84" t="n"/>
      <c r="AO32" s="84" t="n"/>
      <c r="AP32" s="84" t="n"/>
      <c r="AQ32" s="84" t="n"/>
      <c r="AR32" s="84" t="n"/>
      <c r="AS32" s="84" t="n"/>
      <c r="AT32" s="84" t="n"/>
      <c r="AU32" s="84" t="n"/>
      <c r="AV32" s="84" t="n"/>
      <c r="AW32" s="84" t="n"/>
      <c r="AX32" s="84" t="n"/>
      <c r="AY32" s="84" t="n"/>
      <c r="AZ32" s="84" t="n"/>
      <c r="BA32" s="84" t="n"/>
      <c r="BB32" s="84" t="n"/>
      <c r="BC32" s="84" t="n"/>
      <c r="BD32" s="84" t="n"/>
      <c r="BE32" s="84" t="n"/>
      <c r="BF32" s="84" t="n"/>
      <c r="BG32" s="84" t="n"/>
      <c r="BH32" s="84" t="n"/>
      <c r="BI32" s="84" t="n"/>
      <c r="BJ32" s="83" t="inlineStr">
        <is>
          <t>(711) Cyber Instructional Curriculum Developer</t>
        </is>
      </c>
    </row>
    <row r="33" ht="16" customHeight="1">
      <c r="A33" s="3" t="inlineStr">
        <is>
          <t>(712) Cyber Instructor</t>
        </is>
      </c>
      <c r="BD33" s="112" t="n">
        <v>3</v>
      </c>
      <c r="BJ33" s="3" t="inlineStr">
        <is>
          <t>(712) Cyber Instructor</t>
        </is>
      </c>
    </row>
    <row r="34" ht="16" customHeight="1">
      <c r="A34" s="83" t="inlineStr">
        <is>
          <t>(732) Privacy Compliance Manager</t>
        </is>
      </c>
      <c r="B34" s="84" t="n"/>
      <c r="C34" s="84" t="n"/>
      <c r="D34" s="84" t="n"/>
      <c r="E34" s="84" t="n"/>
      <c r="F34" s="84" t="n"/>
      <c r="G34" s="84" t="n"/>
      <c r="H34" s="84" t="n"/>
      <c r="I34" s="84" t="n"/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n"/>
      <c r="S34" s="84" t="n"/>
      <c r="T34" s="84" t="n"/>
      <c r="U34" s="84" t="n"/>
      <c r="V34" s="84" t="n"/>
      <c r="W34" s="84" t="n"/>
      <c r="X34" s="84" t="n"/>
      <c r="Y34" s="84" t="n"/>
      <c r="Z34" s="84" t="n"/>
      <c r="AA34" s="84" t="n"/>
      <c r="AB34" s="84" t="n"/>
      <c r="AC34" s="84" t="n"/>
      <c r="AD34" s="107" t="n">
        <v>3</v>
      </c>
      <c r="AE34" s="84" t="n"/>
      <c r="AF34" s="84" t="n"/>
      <c r="AG34" s="84" t="n"/>
      <c r="AH34" s="84" t="n"/>
      <c r="AI34" s="84" t="n"/>
      <c r="AJ34" s="84" t="n"/>
      <c r="AK34" s="84" t="n"/>
      <c r="AL34" s="84" t="n"/>
      <c r="AM34" s="84" t="n"/>
      <c r="AN34" s="84" t="n"/>
      <c r="AO34" s="84" t="n"/>
      <c r="AP34" s="84" t="n"/>
      <c r="AQ34" s="84" t="n"/>
      <c r="AR34" s="84" t="n"/>
      <c r="AS34" s="84" t="n"/>
      <c r="AT34" s="84" t="n"/>
      <c r="AU34" s="84" t="n"/>
      <c r="AV34" s="84" t="n"/>
      <c r="AW34" s="84" t="n"/>
      <c r="AX34" s="84" t="n"/>
      <c r="AY34" s="84" t="n"/>
      <c r="AZ34" s="84" t="n"/>
      <c r="BA34" s="84" t="n"/>
      <c r="BB34" s="84" t="n"/>
      <c r="BC34" s="84" t="n"/>
      <c r="BD34" s="112" t="n">
        <v>3</v>
      </c>
      <c r="BE34" s="84" t="n"/>
      <c r="BF34" s="84" t="n"/>
      <c r="BG34" s="84" t="n"/>
      <c r="BH34" s="84" t="n"/>
      <c r="BI34" s="84" t="n"/>
      <c r="BJ34" s="83" t="inlineStr">
        <is>
          <t>(732) Privacy Compliance Manager</t>
        </is>
      </c>
    </row>
    <row r="35" ht="16" customHeight="1">
      <c r="A35" s="3" t="inlineStr">
        <is>
          <t>(751) Cyber Workforce Developer and Manager</t>
        </is>
      </c>
      <c r="D35" s="73" t="n">
        <v>2</v>
      </c>
      <c r="H35" s="74" t="n">
        <v>3</v>
      </c>
      <c r="N35" s="143" t="n">
        <v>3</v>
      </c>
      <c r="AD35" s="107" t="n">
        <v>3</v>
      </c>
      <c r="AM35" s="141" t="n">
        <v>3</v>
      </c>
      <c r="AP35" s="98" t="n">
        <v>3</v>
      </c>
      <c r="AS35" s="86" t="n">
        <v>3</v>
      </c>
      <c r="AW35" s="120" t="n">
        <v>3</v>
      </c>
      <c r="BJ35" s="3" t="inlineStr">
        <is>
          <t>(751) Cyber Workforce Developer and Manager</t>
        </is>
      </c>
    </row>
    <row r="36" ht="16" customHeight="1">
      <c r="A36" s="83" t="inlineStr">
        <is>
          <t>(752) Cyber Policy and Strategy Planner</t>
        </is>
      </c>
      <c r="B36" s="84" t="n"/>
      <c r="C36" s="84" t="n"/>
      <c r="D36" s="73" t="n">
        <v>2</v>
      </c>
      <c r="E36" s="84" t="n"/>
      <c r="F36" s="84" t="n"/>
      <c r="G36" s="84" t="n"/>
      <c r="H36" s="74" t="n">
        <v>3</v>
      </c>
      <c r="I36" s="84" t="n"/>
      <c r="J36" s="84" t="n"/>
      <c r="K36" s="84" t="n"/>
      <c r="L36" s="84" t="n"/>
      <c r="M36" s="84" t="n"/>
      <c r="N36" s="143" t="n">
        <v>3</v>
      </c>
      <c r="O36" s="84" t="n"/>
      <c r="P36" s="84" t="n"/>
      <c r="Q36" s="84" t="n"/>
      <c r="R36" s="84" t="n"/>
      <c r="S36" s="84" t="n"/>
      <c r="T36" s="84" t="n"/>
      <c r="U36" s="84" t="n"/>
      <c r="V36" s="84" t="n"/>
      <c r="W36" s="84" t="n"/>
      <c r="X36" s="84" t="n"/>
      <c r="Y36" s="84" t="n"/>
      <c r="Z36" s="84" t="n"/>
      <c r="AA36" s="84" t="n"/>
      <c r="AB36" s="84" t="n"/>
      <c r="AC36" s="84" t="n"/>
      <c r="AD36" s="107" t="n">
        <v>3</v>
      </c>
      <c r="AE36" s="84" t="n"/>
      <c r="AF36" s="84" t="n"/>
      <c r="AG36" s="84" t="n"/>
      <c r="AH36" s="84" t="n"/>
      <c r="AI36" s="84" t="n"/>
      <c r="AJ36" s="84" t="n"/>
      <c r="AK36" s="84" t="n"/>
      <c r="AL36" s="84" t="n"/>
      <c r="AM36" s="141" t="n">
        <v>3</v>
      </c>
      <c r="AN36" s="84" t="n"/>
      <c r="AO36" s="84" t="n"/>
      <c r="AP36" s="98" t="n">
        <v>3</v>
      </c>
      <c r="AQ36" s="84" t="n"/>
      <c r="AR36" s="84" t="n"/>
      <c r="AS36" s="86" t="n">
        <v>3</v>
      </c>
      <c r="AT36" s="84" t="n"/>
      <c r="AU36" s="84" t="n"/>
      <c r="AV36" s="84" t="n"/>
      <c r="AW36" s="84" t="n"/>
      <c r="AX36" s="84" t="n"/>
      <c r="AY36" s="84" t="n"/>
      <c r="AZ36" s="84" t="n"/>
      <c r="BA36" s="84" t="n"/>
      <c r="BB36" s="84" t="n"/>
      <c r="BC36" s="84" t="n"/>
      <c r="BD36" s="112" t="n">
        <v>3</v>
      </c>
      <c r="BE36" s="84" t="n"/>
      <c r="BF36" s="84" t="n"/>
      <c r="BG36" s="84" t="n"/>
      <c r="BH36" s="84" t="n"/>
      <c r="BI36" s="84" t="n"/>
      <c r="BJ36" s="83" t="inlineStr">
        <is>
          <t>(752) Cyber Policy and Strategy Planner</t>
        </is>
      </c>
    </row>
    <row r="37" ht="16" customHeight="1">
      <c r="A37" s="3" t="inlineStr">
        <is>
          <t>(801) Program Manager</t>
        </is>
      </c>
      <c r="H37" s="73" t="n">
        <v>2</v>
      </c>
      <c r="N37" s="143" t="n">
        <v>3</v>
      </c>
      <c r="T37" s="91" t="n">
        <v>3</v>
      </c>
      <c r="AD37" s="107" t="n">
        <v>3</v>
      </c>
      <c r="AM37" s="141" t="n">
        <v>3</v>
      </c>
      <c r="AR37" s="145" t="n">
        <v>2</v>
      </c>
      <c r="AS37" s="86" t="n">
        <v>3</v>
      </c>
      <c r="BC37" s="114" t="n">
        <v>3</v>
      </c>
      <c r="BD37" s="112" t="n">
        <v>3</v>
      </c>
      <c r="BH37" s="156" t="n">
        <v>2</v>
      </c>
      <c r="BI37" s="157" t="n">
        <v>3</v>
      </c>
      <c r="BJ37" s="3" t="inlineStr">
        <is>
          <t>(801) Program Manager</t>
        </is>
      </c>
    </row>
    <row r="38" ht="16" customHeight="1">
      <c r="A38" s="83" t="inlineStr">
        <is>
          <t>(802) IT Project Manager</t>
        </is>
      </c>
      <c r="B38" s="84" t="n"/>
      <c r="C38" s="84" t="n"/>
      <c r="D38" s="73" t="n">
        <v>2</v>
      </c>
      <c r="E38" s="84" t="n"/>
      <c r="F38" s="84" t="n"/>
      <c r="G38" s="84" t="n"/>
      <c r="H38" s="73" t="n">
        <v>2</v>
      </c>
      <c r="I38" s="84" t="n"/>
      <c r="J38" s="84" t="n"/>
      <c r="K38" s="84" t="n"/>
      <c r="L38" s="84" t="n"/>
      <c r="M38" s="84" t="n"/>
      <c r="N38" s="143" t="n">
        <v>3</v>
      </c>
      <c r="O38" s="84" t="n"/>
      <c r="P38" s="84" t="n"/>
      <c r="Q38" s="158" t="n">
        <v>3</v>
      </c>
      <c r="R38" s="144" t="n">
        <v>3</v>
      </c>
      <c r="S38" s="84" t="n"/>
      <c r="T38" s="91" t="n">
        <v>3</v>
      </c>
      <c r="U38" s="84" t="n"/>
      <c r="V38" s="79" t="n">
        <v>2</v>
      </c>
      <c r="W38" s="84" t="n"/>
      <c r="X38" s="84" t="n"/>
      <c r="Y38" s="84" t="n"/>
      <c r="Z38" s="84" t="n"/>
      <c r="AA38" s="84" t="n"/>
      <c r="AB38" s="84" t="n"/>
      <c r="AC38" s="84" t="n"/>
      <c r="AD38" s="107" t="n">
        <v>3</v>
      </c>
      <c r="AE38" s="84" t="n"/>
      <c r="AF38" s="84" t="n"/>
      <c r="AG38" s="84" t="n"/>
      <c r="AH38" s="84" t="n"/>
      <c r="AI38" s="84" t="n"/>
      <c r="AJ38" s="84" t="n"/>
      <c r="AK38" s="84" t="n"/>
      <c r="AL38" s="80" t="n">
        <v>3</v>
      </c>
      <c r="AM38" s="141" t="n">
        <v>3</v>
      </c>
      <c r="AN38" s="84" t="n"/>
      <c r="AO38" s="84" t="n"/>
      <c r="AP38" s="98" t="n">
        <v>3</v>
      </c>
      <c r="AQ38" s="84" t="n"/>
      <c r="AR38" s="84" t="n"/>
      <c r="AS38" s="86" t="n">
        <v>3</v>
      </c>
      <c r="AT38" s="84" t="n"/>
      <c r="AU38" s="88" t="n">
        <v>3</v>
      </c>
      <c r="AV38" s="146" t="n">
        <v>3</v>
      </c>
      <c r="AW38" s="84" t="n"/>
      <c r="AX38" s="84" t="n"/>
      <c r="AY38" s="84" t="n"/>
      <c r="AZ38" s="84" t="n"/>
      <c r="BA38" s="84" t="n"/>
      <c r="BB38" s="84" t="n"/>
      <c r="BC38" s="114" t="n">
        <v>3</v>
      </c>
      <c r="BD38" s="84" t="n"/>
      <c r="BE38" s="84" t="n"/>
      <c r="BF38" s="84" t="n"/>
      <c r="BG38" s="84" t="n"/>
      <c r="BH38" s="156" t="n">
        <v>2</v>
      </c>
      <c r="BI38" s="157" t="n">
        <v>3</v>
      </c>
      <c r="BJ38" s="83" t="inlineStr">
        <is>
          <t>(802) IT Project Manager</t>
        </is>
      </c>
    </row>
    <row r="39" ht="16" customHeight="1">
      <c r="A39" s="3" t="inlineStr">
        <is>
          <t>(803) Product Support Manager</t>
        </is>
      </c>
      <c r="N39" s="143" t="n">
        <v>3</v>
      </c>
      <c r="S39" s="102" t="n">
        <v>3</v>
      </c>
      <c r="T39" s="91" t="n">
        <v>3</v>
      </c>
      <c r="Z39" s="104" t="n">
        <v>3</v>
      </c>
      <c r="AD39" s="107" t="n">
        <v>3</v>
      </c>
      <c r="BC39" s="114" t="n">
        <v>3</v>
      </c>
      <c r="BF39" s="159" t="n">
        <v>2</v>
      </c>
      <c r="BG39" s="160" t="n">
        <v>3</v>
      </c>
      <c r="BJ39" s="3" t="inlineStr">
        <is>
          <t>(803) Product Support Manager</t>
        </is>
      </c>
    </row>
    <row r="40" ht="16" customHeight="1">
      <c r="A40" s="83" t="inlineStr">
        <is>
          <t>(804) IT Investment/Portfolio Manager</t>
        </is>
      </c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143" t="n">
        <v>3</v>
      </c>
      <c r="O40" s="84" t="n"/>
      <c r="P40" s="84" t="n"/>
      <c r="Q40" s="158" t="n">
        <v>3</v>
      </c>
      <c r="R40" s="144" t="n">
        <v>3</v>
      </c>
      <c r="S40" s="84" t="n"/>
      <c r="T40" s="91" t="n">
        <v>3</v>
      </c>
      <c r="U40" s="84" t="n"/>
      <c r="V40" s="84" t="n"/>
      <c r="W40" s="84" t="n"/>
      <c r="X40" s="84" t="n"/>
      <c r="Y40" s="84" t="n"/>
      <c r="Z40" s="104" t="n">
        <v>3</v>
      </c>
      <c r="AA40" s="84" t="n"/>
      <c r="AB40" s="84" t="n"/>
      <c r="AC40" s="84" t="n"/>
      <c r="AD40" s="107" t="n">
        <v>3</v>
      </c>
      <c r="AE40" s="84" t="n"/>
      <c r="AF40" s="84" t="n"/>
      <c r="AG40" s="84" t="n"/>
      <c r="AH40" s="84" t="n"/>
      <c r="AI40" s="84" t="n"/>
      <c r="AJ40" s="84" t="n"/>
      <c r="AK40" s="84" t="n"/>
      <c r="AL40" s="84" t="n"/>
      <c r="AM40" s="141" t="n">
        <v>3</v>
      </c>
      <c r="AN40" s="84" t="n"/>
      <c r="AO40" s="84" t="n"/>
      <c r="AP40" s="84" t="n"/>
      <c r="AQ40" s="84" t="n"/>
      <c r="AR40" s="84" t="n"/>
      <c r="AS40" s="86" t="n">
        <v>3</v>
      </c>
      <c r="AT40" s="84" t="n"/>
      <c r="AU40" s="84" t="n"/>
      <c r="AV40" s="84" t="n"/>
      <c r="AW40" s="84" t="n"/>
      <c r="AX40" s="84" t="n"/>
      <c r="AY40" s="84" t="n"/>
      <c r="AZ40" s="84" t="n"/>
      <c r="BA40" s="84" t="n"/>
      <c r="BB40" s="84" t="n"/>
      <c r="BC40" s="84" t="n"/>
      <c r="BD40" s="112" t="n">
        <v>3</v>
      </c>
      <c r="BE40" s="84" t="n"/>
      <c r="BF40" s="84" t="n"/>
      <c r="BG40" s="84" t="n"/>
      <c r="BH40" s="84" t="n"/>
      <c r="BI40" s="84" t="n"/>
      <c r="BJ40" s="83" t="inlineStr">
        <is>
          <t>(804) IT Investment/Portfolio Manager</t>
        </is>
      </c>
    </row>
    <row r="41" ht="16" customHeight="1">
      <c r="A41" s="3" t="inlineStr">
        <is>
          <t>(805) IT Program Auditor</t>
        </is>
      </c>
      <c r="D41" s="73" t="n">
        <v>2</v>
      </c>
      <c r="H41" s="73" t="n">
        <v>2</v>
      </c>
      <c r="N41" s="143" t="n">
        <v>3</v>
      </c>
      <c r="Q41" s="158" t="n">
        <v>3</v>
      </c>
      <c r="R41" s="144" t="n">
        <v>3</v>
      </c>
      <c r="S41" s="102" t="n">
        <v>3</v>
      </c>
      <c r="V41" s="79" t="n">
        <v>2</v>
      </c>
      <c r="Z41" s="104" t="n">
        <v>3</v>
      </c>
      <c r="AD41" s="107" t="n">
        <v>3</v>
      </c>
      <c r="AE41" s="161" t="n">
        <v>2</v>
      </c>
      <c r="AL41" s="80" t="n">
        <v>3</v>
      </c>
      <c r="AM41" s="141" t="n">
        <v>3</v>
      </c>
      <c r="AO41" s="85" t="n">
        <v>2</v>
      </c>
      <c r="AP41" s="98" t="n">
        <v>3</v>
      </c>
      <c r="AR41" s="145" t="n">
        <v>2</v>
      </c>
      <c r="AS41" s="86" t="n">
        <v>3</v>
      </c>
      <c r="BC41" s="114" t="n">
        <v>3</v>
      </c>
      <c r="BJ41" s="3" t="inlineStr">
        <is>
          <t>(805) IT Program Auditor</t>
        </is>
      </c>
    </row>
    <row r="42" ht="16" customHeight="1">
      <c r="A42" s="83" t="inlineStr">
        <is>
          <t>(111) All-Source Analyst</t>
        </is>
      </c>
      <c r="B42" s="84" t="n"/>
      <c r="C42" s="84" t="n"/>
      <c r="D42" s="84" t="n"/>
      <c r="E42" s="84" t="n"/>
      <c r="F42" s="84" t="n"/>
      <c r="G42" s="115" t="n">
        <v>3</v>
      </c>
      <c r="H42" s="84" t="n"/>
      <c r="I42" s="84" t="n"/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  <c r="AA42" s="84" t="n"/>
      <c r="AB42" s="84" t="n"/>
      <c r="AC42" s="84" t="n"/>
      <c r="AD42" s="84" t="n"/>
      <c r="AE42" s="84" t="n"/>
      <c r="AF42" s="84" t="n"/>
      <c r="AG42" s="162" t="n">
        <v>3</v>
      </c>
      <c r="AH42" s="84" t="n"/>
      <c r="AI42" s="84" t="n"/>
      <c r="AJ42" s="84" t="n"/>
      <c r="AK42" s="84" t="n"/>
      <c r="AL42" s="84" t="n"/>
      <c r="AM42" s="84" t="n"/>
      <c r="AN42" s="84" t="n"/>
      <c r="AO42" s="84" t="n"/>
      <c r="AP42" s="84" t="n"/>
      <c r="AQ42" s="84" t="n"/>
      <c r="AR42" s="84" t="n"/>
      <c r="AS42" s="84" t="n"/>
      <c r="AT42" s="84" t="n"/>
      <c r="AU42" s="84" t="n"/>
      <c r="AV42" s="84" t="n"/>
      <c r="AW42" s="84" t="n"/>
      <c r="AX42" s="84" t="n"/>
      <c r="AY42" s="84" t="n"/>
      <c r="AZ42" s="84" t="n"/>
      <c r="BA42" s="84" t="n"/>
      <c r="BB42" s="84" t="n"/>
      <c r="BC42" s="114" t="n">
        <v>3</v>
      </c>
      <c r="BD42" s="84" t="n"/>
      <c r="BE42" s="84" t="n"/>
      <c r="BF42" s="84" t="n"/>
      <c r="BG42" s="84" t="n"/>
      <c r="BH42" s="84" t="n"/>
      <c r="BI42" s="84" t="n"/>
      <c r="BJ42" s="83" t="inlineStr">
        <is>
          <t>(111) All-Source Analyst</t>
        </is>
      </c>
    </row>
    <row r="43" ht="16" customHeight="1">
      <c r="A43" s="3" t="inlineStr">
        <is>
          <t>(121) Exploitation Analyst</t>
        </is>
      </c>
      <c r="F43" s="74" t="n">
        <v>3</v>
      </c>
      <c r="Y43" s="152" t="n">
        <v>3</v>
      </c>
      <c r="AA43" s="139" t="n">
        <v>3</v>
      </c>
      <c r="BJ43" s="3" t="inlineStr">
        <is>
          <t>(121) Exploitation Analyst</t>
        </is>
      </c>
    </row>
    <row r="44" ht="16" customHeight="1">
      <c r="A44" s="83" t="inlineStr">
        <is>
          <t>(131) Joint Targeting Analyst</t>
        </is>
      </c>
      <c r="B44" s="84" t="n"/>
      <c r="C44" s="84" t="n"/>
      <c r="D44" s="84" t="n"/>
      <c r="E44" s="84" t="n"/>
      <c r="F44" s="84" t="n"/>
      <c r="G44" s="84" t="n"/>
      <c r="H44" s="84" t="n"/>
      <c r="I44" s="84" t="n"/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n"/>
      <c r="S44" s="84" t="n"/>
      <c r="T44" s="84" t="n"/>
      <c r="U44" s="84" t="n"/>
      <c r="V44" s="84" t="n"/>
      <c r="W44" s="84" t="n"/>
      <c r="X44" s="84" t="n"/>
      <c r="Y44" s="84" t="n"/>
      <c r="Z44" s="84" t="n"/>
      <c r="AA44" s="139" t="n">
        <v>3</v>
      </c>
      <c r="AB44" s="84" t="n"/>
      <c r="AC44" s="84" t="n"/>
      <c r="AD44" s="84" t="n"/>
      <c r="AE44" s="84" t="n"/>
      <c r="AF44" s="84" t="n"/>
      <c r="AG44" s="84" t="n"/>
      <c r="AH44" s="84" t="n"/>
      <c r="AI44" s="84" t="n"/>
      <c r="AJ44" s="84" t="n"/>
      <c r="AK44" s="84" t="n"/>
      <c r="AL44" s="84" t="n"/>
      <c r="AM44" s="84" t="n"/>
      <c r="AN44" s="84" t="n"/>
      <c r="AO44" s="84" t="n"/>
      <c r="AP44" s="84" t="n"/>
      <c r="AQ44" s="84" t="n"/>
      <c r="AR44" s="84" t="n"/>
      <c r="AS44" s="84" t="n"/>
      <c r="AT44" s="84" t="n"/>
      <c r="AU44" s="84" t="n"/>
      <c r="AV44" s="84" t="n"/>
      <c r="AW44" s="84" t="n"/>
      <c r="AX44" s="84" t="n"/>
      <c r="AY44" s="84" t="n"/>
      <c r="AZ44" s="84" t="n"/>
      <c r="BA44" s="84" t="n"/>
      <c r="BB44" s="84" t="n"/>
      <c r="BC44" s="84" t="n"/>
      <c r="BD44" s="84" t="n"/>
      <c r="BE44" s="84" t="n"/>
      <c r="BF44" s="84" t="n"/>
      <c r="BG44" s="84" t="n"/>
      <c r="BH44" s="84" t="n"/>
      <c r="BI44" s="84" t="n"/>
      <c r="BJ44" s="83" t="inlineStr">
        <is>
          <t>(131) Joint Targeting Analyst</t>
        </is>
      </c>
    </row>
    <row r="45" ht="16" customHeight="1">
      <c r="A45" s="3" t="inlineStr">
        <is>
          <t>(132) Target Digital Network Analyst</t>
        </is>
      </c>
      <c r="Y45" s="152" t="n">
        <v>3</v>
      </c>
      <c r="AA45" s="139" t="n">
        <v>3</v>
      </c>
      <c r="BJ45" s="3" t="inlineStr">
        <is>
          <t>(132) Target Digital Network Analyst</t>
        </is>
      </c>
    </row>
    <row r="46" ht="16" customHeight="1">
      <c r="A46" s="83" t="inlineStr">
        <is>
          <t>(311) All-Source Collection Manager</t>
        </is>
      </c>
      <c r="B46" s="84" t="n"/>
      <c r="C46" s="84" t="n"/>
      <c r="D46" s="84" t="n"/>
      <c r="E46" s="84" t="n"/>
      <c r="F46" s="84" t="n"/>
      <c r="G46" s="84" t="n"/>
      <c r="H46" s="84" t="n"/>
      <c r="I46" s="84" t="n"/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n"/>
      <c r="S46" s="84" t="n"/>
      <c r="T46" s="84" t="n"/>
      <c r="U46" s="84" t="n"/>
      <c r="V46" s="84" t="n"/>
      <c r="W46" s="84" t="n"/>
      <c r="X46" s="84" t="n"/>
      <c r="Y46" s="84" t="n"/>
      <c r="Z46" s="84" t="n"/>
      <c r="AA46" s="84" t="n"/>
      <c r="AB46" s="84" t="n"/>
      <c r="AC46" s="84" t="n"/>
      <c r="AD46" s="84" t="n"/>
      <c r="AE46" s="84" t="n"/>
      <c r="AF46" s="118" t="n">
        <v>3</v>
      </c>
      <c r="AG46" s="162" t="n">
        <v>3</v>
      </c>
      <c r="AH46" s="84" t="n"/>
      <c r="AI46" s="84" t="n"/>
      <c r="AJ46" s="84" t="n"/>
      <c r="AK46" s="84" t="n"/>
      <c r="AL46" s="84" t="n"/>
      <c r="AM46" s="84" t="n"/>
      <c r="AN46" s="84" t="n"/>
      <c r="AO46" s="84" t="n"/>
      <c r="AP46" s="84" t="n"/>
      <c r="AQ46" s="84" t="n"/>
      <c r="AR46" s="84" t="n"/>
      <c r="AS46" s="84" t="n"/>
      <c r="AT46" s="84" t="n"/>
      <c r="AU46" s="84" t="n"/>
      <c r="AV46" s="84" t="n"/>
      <c r="AW46" s="84" t="n"/>
      <c r="AX46" s="84" t="n"/>
      <c r="AY46" s="84" t="n"/>
      <c r="AZ46" s="84" t="n"/>
      <c r="BA46" s="84" t="n"/>
      <c r="BB46" s="84" t="n"/>
      <c r="BC46" s="84" t="n"/>
      <c r="BD46" s="84" t="n"/>
      <c r="BE46" s="84" t="n"/>
      <c r="BF46" s="84" t="n"/>
      <c r="BG46" s="84" t="n"/>
      <c r="BH46" s="84" t="n"/>
      <c r="BI46" s="84" t="n"/>
      <c r="BJ46" s="83" t="inlineStr">
        <is>
          <t>(311) All-Source Collection Manager</t>
        </is>
      </c>
    </row>
    <row r="47" ht="16" customHeight="1">
      <c r="A47" s="3" t="inlineStr">
        <is>
          <t>(312) All-Source Collection Requirements Manager</t>
        </is>
      </c>
      <c r="AF47" s="118" t="n">
        <v>3</v>
      </c>
      <c r="AG47" s="162" t="n">
        <v>3</v>
      </c>
      <c r="BJ47" s="3" t="inlineStr">
        <is>
          <t>(312) All-Source Collection Requirements Manager</t>
        </is>
      </c>
    </row>
    <row r="48" ht="16" customHeight="1">
      <c r="A48" s="83" t="inlineStr">
        <is>
          <t>(331) Cyber Intelligence Planner</t>
        </is>
      </c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  <c r="AA48" s="84" t="n"/>
      <c r="AB48" s="84" t="n"/>
      <c r="AC48" s="84" t="n"/>
      <c r="AD48" s="84" t="n"/>
      <c r="AE48" s="84" t="n"/>
      <c r="AF48" s="84" t="n"/>
      <c r="AG48" s="162" t="n">
        <v>3</v>
      </c>
      <c r="AH48" s="84" t="n"/>
      <c r="AI48" s="84" t="n"/>
      <c r="AJ48" s="84" t="n"/>
      <c r="AK48" s="84" t="n"/>
      <c r="AL48" s="84" t="n"/>
      <c r="AM48" s="84" t="n"/>
      <c r="AN48" s="84" t="n"/>
      <c r="AO48" s="84" t="n"/>
      <c r="AP48" s="84" t="n"/>
      <c r="AQ48" s="84" t="n"/>
      <c r="AR48" s="84" t="n"/>
      <c r="AS48" s="84" t="n"/>
      <c r="AT48" s="84" t="n"/>
      <c r="AU48" s="84" t="n"/>
      <c r="AV48" s="84" t="n"/>
      <c r="AW48" s="84" t="n"/>
      <c r="AX48" s="84" t="n"/>
      <c r="AY48" s="84" t="n"/>
      <c r="AZ48" s="84" t="n"/>
      <c r="BA48" s="84" t="n"/>
      <c r="BB48" s="84" t="n"/>
      <c r="BC48" s="84" t="n"/>
      <c r="BD48" s="84" t="n"/>
      <c r="BE48" s="84" t="n"/>
      <c r="BF48" s="84" t="n"/>
      <c r="BG48" s="84" t="n"/>
      <c r="BH48" s="84" t="n"/>
      <c r="BI48" s="84" t="n"/>
      <c r="BJ48" s="83" t="inlineStr">
        <is>
          <t>(331) Cyber Intelligence Planner</t>
        </is>
      </c>
    </row>
    <row r="49" ht="16" customHeight="1">
      <c r="A49" s="3" t="inlineStr">
        <is>
          <t>(332) Cyber Operations Planner</t>
        </is>
      </c>
      <c r="Y49" s="152" t="n">
        <v>3</v>
      </c>
      <c r="AA49" s="139" t="n">
        <v>3</v>
      </c>
      <c r="BC49" s="114" t="n">
        <v>3</v>
      </c>
      <c r="BJ49" s="3" t="inlineStr">
        <is>
          <t>(332) Cyber Operations Planner</t>
        </is>
      </c>
    </row>
    <row r="51">
      <c r="A51" s="4" t="inlineStr">
        <is>
          <t>Proficiency levels: Basic = 1, Intermediate = 2, Advanced = 3</t>
        </is>
      </c>
    </row>
    <row r="52" ht="60" customHeight="1">
      <c r="A52" s="17" t="inlineStr">
        <is>
          <t>Work Role</t>
        </is>
      </c>
      <c r="B52" s="18" t="inlineStr">
        <is>
          <t>A+</t>
        </is>
      </c>
      <c r="C52" s="18" t="inlineStr">
        <is>
          <t>Net+</t>
        </is>
      </c>
      <c r="D52" s="18" t="inlineStr">
        <is>
          <t>Sec+</t>
        </is>
      </c>
      <c r="E52" s="18" t="inlineStr">
        <is>
          <t>Cloud+</t>
        </is>
      </c>
      <c r="F52" s="18" t="inlineStr">
        <is>
          <t>PenTest</t>
        </is>
      </c>
      <c r="G52" s="19" t="inlineStr">
        <is>
          <t>CySA+</t>
        </is>
      </c>
      <c r="H52" s="18" t="inlineStr">
        <is>
          <t>CASP+</t>
        </is>
      </c>
      <c r="I52" s="20" t="inlineStr">
        <is>
          <t>CND</t>
        </is>
      </c>
      <c r="J52" s="21" t="inlineStr">
        <is>
          <t>CEH</t>
        </is>
      </c>
      <c r="K52" s="22" t="inlineStr">
        <is>
          <t>CEH(P)</t>
        </is>
      </c>
      <c r="L52" s="23" t="inlineStr">
        <is>
          <t>CHFI</t>
        </is>
      </c>
      <c r="M52" s="24" t="inlineStr">
        <is>
          <t>ECIH</t>
        </is>
      </c>
      <c r="N52" s="25" t="inlineStr">
        <is>
          <t>CCISO</t>
        </is>
      </c>
      <c r="O52" s="26" t="inlineStr">
        <is>
          <t>FITSP-O</t>
        </is>
      </c>
      <c r="P52" s="27" t="inlineStr">
        <is>
          <t>FITSP-D</t>
        </is>
      </c>
      <c r="Q52" s="28" t="inlineStr">
        <is>
          <t>FITSP-A</t>
        </is>
      </c>
      <c r="R52" s="29" t="inlineStr">
        <is>
          <t>FITSP-M</t>
        </is>
      </c>
      <c r="S52" s="30" t="inlineStr">
        <is>
          <t>GISF</t>
        </is>
      </c>
      <c r="T52" s="31" t="inlineStr">
        <is>
          <t>GFACT</t>
        </is>
      </c>
      <c r="U52" s="32" t="inlineStr">
        <is>
          <t>GICSP</t>
        </is>
      </c>
      <c r="V52" s="33" t="inlineStr">
        <is>
          <t>GSEC</t>
        </is>
      </c>
      <c r="W52" s="34" t="inlineStr">
        <is>
          <t>GCLD</t>
        </is>
      </c>
      <c r="X52" s="35" t="inlineStr">
        <is>
          <t>GCIA</t>
        </is>
      </c>
      <c r="Y52" s="36" t="inlineStr">
        <is>
          <t>GCIH</t>
        </is>
      </c>
      <c r="Z52" s="37" t="inlineStr">
        <is>
          <t>GCSA</t>
        </is>
      </c>
      <c r="AA52" s="38" t="inlineStr">
        <is>
          <t>GPEN</t>
        </is>
      </c>
      <c r="AB52" s="39" t="inlineStr">
        <is>
          <t>GCED</t>
        </is>
      </c>
      <c r="AC52" s="40" t="inlineStr">
        <is>
          <t>GCFE</t>
        </is>
      </c>
      <c r="AD52" s="41" t="inlineStr">
        <is>
          <t>GSLC</t>
        </is>
      </c>
      <c r="AE52" s="42" t="inlineStr">
        <is>
          <t>GSNA</t>
        </is>
      </c>
      <c r="AF52" s="43" t="inlineStr">
        <is>
          <t>GCFA</t>
        </is>
      </c>
      <c r="AG52" s="44" t="inlineStr">
        <is>
          <t>GCTI</t>
        </is>
      </c>
      <c r="AH52" s="45" t="inlineStr">
        <is>
          <t>GDSA</t>
        </is>
      </c>
      <c r="AI52" s="46" t="inlineStr">
        <is>
          <t>GREM</t>
        </is>
      </c>
      <c r="AJ52" s="47" t="inlineStr">
        <is>
          <t>GMON</t>
        </is>
      </c>
      <c r="AK52" s="48" t="inlineStr">
        <is>
          <t>GRID</t>
        </is>
      </c>
      <c r="AL52" s="49" t="inlineStr">
        <is>
          <t>CISA</t>
        </is>
      </c>
      <c r="AM52" s="50" t="inlineStr">
        <is>
          <t>CISM</t>
        </is>
      </c>
      <c r="AN52" s="51" t="inlineStr">
        <is>
          <t>CC</t>
        </is>
      </c>
      <c r="AO52" s="52" t="inlineStr">
        <is>
          <t>SSCP</t>
        </is>
      </c>
      <c r="AP52" s="53" t="inlineStr">
        <is>
          <t>CCSP</t>
        </is>
      </c>
      <c r="AQ52" s="54" t="inlineStr">
        <is>
          <t>CSSLP</t>
        </is>
      </c>
      <c r="AR52" s="55" t="inlineStr">
        <is>
          <t>CGRC</t>
        </is>
      </c>
      <c r="AS52" s="56" t="inlineStr">
        <is>
          <t>CISSP</t>
        </is>
      </c>
      <c r="AT52" s="57" t="inlineStr">
        <is>
          <t>ISSAP</t>
        </is>
      </c>
      <c r="AU52" s="58" t="inlineStr">
        <is>
          <t>ISSEP</t>
        </is>
      </c>
      <c r="AV52" s="59" t="inlineStr">
        <is>
          <t>ISSMP</t>
        </is>
      </c>
      <c r="AW52" s="60" t="inlineStr">
        <is>
          <t>CFR</t>
        </is>
      </c>
      <c r="AX52" s="61" t="inlineStr">
        <is>
          <t>CSC</t>
        </is>
      </c>
      <c r="AY52" s="62" t="inlineStr">
        <is>
          <t>CCNA</t>
        </is>
      </c>
      <c r="AZ52" s="63" t="inlineStr">
        <is>
          <t>CBROPS</t>
        </is>
      </c>
      <c r="BA52" s="64" t="inlineStr">
        <is>
          <t>CCNP-S</t>
        </is>
      </c>
      <c r="BB52" s="65" t="inlineStr">
        <is>
          <t>CCNP-E</t>
        </is>
      </c>
      <c r="BC52" s="66" t="inlineStr">
        <is>
          <t>RCCE-1</t>
        </is>
      </c>
      <c r="BD52" s="67" t="inlineStr">
        <is>
          <t>CISSO</t>
        </is>
      </c>
      <c r="BE52" s="68" t="inlineStr">
        <is>
          <t>CPTE</t>
        </is>
      </c>
      <c r="BF52" s="49" t="inlineStr">
        <is>
          <t>DAWIA-LCL-F</t>
        </is>
      </c>
      <c r="BG52" s="69" t="inlineStr">
        <is>
          <t>DAWIA-LCL-A</t>
        </is>
      </c>
      <c r="BH52" s="70" t="inlineStr">
        <is>
          <t>DAWIA-PM-P</t>
        </is>
      </c>
      <c r="BI52" s="71" t="inlineStr">
        <is>
          <t>DAWIA-PM-A</t>
        </is>
      </c>
      <c r="BJ52" s="17" t="inlineStr">
        <is>
          <t>Work Role</t>
        </is>
      </c>
    </row>
    <row r="53">
      <c r="A53" s="163" t="inlineStr">
        <is>
          <t>Total Positions Covered</t>
        </is>
      </c>
      <c r="B53" s="164">
        <f>COUNT(B4:B49)</f>
        <v/>
      </c>
      <c r="C53" s="165">
        <f>COUNT(C4:C49)</f>
        <v/>
      </c>
      <c r="D53" s="166">
        <f>COUNT(D4:D49)</f>
        <v/>
      </c>
      <c r="E53" s="167">
        <f>COUNT(E4:E49)</f>
        <v/>
      </c>
      <c r="F53" s="168">
        <f>COUNT(F4:F49)</f>
        <v/>
      </c>
      <c r="G53" s="168">
        <f>COUNT(G4:G49)</f>
        <v/>
      </c>
      <c r="H53" s="169">
        <f>COUNT(H4:H49)</f>
        <v/>
      </c>
      <c r="I53" s="168">
        <f>COUNT(I4:I49)</f>
        <v/>
      </c>
      <c r="J53" s="170">
        <f>COUNT(J4:J49)</f>
        <v/>
      </c>
      <c r="K53" s="164">
        <f>COUNT(K4:K49)</f>
        <v/>
      </c>
      <c r="L53" s="164">
        <f>COUNT(L4:L49)</f>
        <v/>
      </c>
      <c r="M53" s="171">
        <f>COUNT(M4:M49)</f>
        <v/>
      </c>
      <c r="N53" s="172">
        <f>COUNT(N4:N49)</f>
        <v/>
      </c>
      <c r="O53" s="165">
        <f>COUNT(O4:O49)</f>
        <v/>
      </c>
      <c r="P53" s="173">
        <f>COUNT(P4:P49)</f>
        <v/>
      </c>
      <c r="Q53" s="165">
        <f>COUNT(Q4:Q49)</f>
        <v/>
      </c>
      <c r="R53" s="170">
        <f>COUNT(R4:R49)</f>
        <v/>
      </c>
      <c r="S53" s="174">
        <f>COUNT(S4:S49)</f>
        <v/>
      </c>
      <c r="T53" s="175">
        <f>COUNT(T4:T49)</f>
        <v/>
      </c>
      <c r="U53" s="176">
        <f>COUNT(U4:U49)</f>
        <v/>
      </c>
      <c r="V53" s="177">
        <f>COUNT(V4:V49)</f>
        <v/>
      </c>
      <c r="W53" s="175">
        <f>COUNT(W4:W49)</f>
        <v/>
      </c>
      <c r="X53" s="170">
        <f>COUNT(X4:X49)</f>
        <v/>
      </c>
      <c r="Y53" s="175">
        <f>COUNT(Y4:Y49)</f>
        <v/>
      </c>
      <c r="Z53" s="167">
        <f>COUNT(Z4:Z49)</f>
        <v/>
      </c>
      <c r="AA53" s="165">
        <f>COUNT(AA4:AA49)</f>
        <v/>
      </c>
      <c r="AB53" s="173">
        <f>COUNT(AB4:AB49)</f>
        <v/>
      </c>
      <c r="AC53" s="164">
        <f>COUNT(AC4:AC49)</f>
        <v/>
      </c>
      <c r="AD53" s="178">
        <f>COUNT(AD4:AD49)</f>
        <v/>
      </c>
      <c r="AE53" s="173">
        <f>COUNT(AE4:AE49)</f>
        <v/>
      </c>
      <c r="AF53" s="170">
        <f>COUNT(AF4:AF49)</f>
        <v/>
      </c>
      <c r="AG53" s="173">
        <f>COUNT(AG4:AG49)</f>
        <v/>
      </c>
      <c r="AH53" s="179">
        <f>COUNT(AH4:AH49)</f>
        <v/>
      </c>
      <c r="AI53" s="171">
        <f>COUNT(AI4:AI49)</f>
        <v/>
      </c>
      <c r="AJ53" s="173">
        <f>COUNT(AJ4:AJ49)</f>
        <v/>
      </c>
      <c r="AK53" s="164">
        <f>COUNT(AK4:AK49)</f>
        <v/>
      </c>
      <c r="AL53" s="179">
        <f>COUNT(AL4:AL49)</f>
        <v/>
      </c>
      <c r="AM53" s="180">
        <f>COUNT(AM4:AM49)</f>
        <v/>
      </c>
      <c r="AN53" s="165">
        <f>COUNT(AN4:AN49)</f>
        <v/>
      </c>
      <c r="AO53" s="178">
        <f>COUNT(AO4:AO49)</f>
        <v/>
      </c>
      <c r="AP53" s="167">
        <f>COUNT(AP4:AP49)</f>
        <v/>
      </c>
      <c r="AQ53" s="165">
        <f>COUNT(AQ4:AQ49)</f>
        <v/>
      </c>
      <c r="AR53" s="165">
        <f>COUNT(AR4:AR49)</f>
        <v/>
      </c>
      <c r="AS53" s="172">
        <f>COUNT(AS4:AS49)</f>
        <v/>
      </c>
      <c r="AT53" s="165">
        <f>COUNT(AT4:AT49)</f>
        <v/>
      </c>
      <c r="AU53" s="168">
        <f>COUNT(AU4:AU49)</f>
        <v/>
      </c>
      <c r="AV53" s="164">
        <f>COUNT(AV4:AV49)</f>
        <v/>
      </c>
      <c r="AW53" s="175">
        <f>COUNT(AW4:AW49)</f>
        <v/>
      </c>
      <c r="AX53" s="181">
        <f>COUNT(AX4:AX49)</f>
        <v/>
      </c>
      <c r="AY53" s="171">
        <f>COUNT(AY4:AY49)</f>
        <v/>
      </c>
      <c r="AZ53" s="181">
        <f>COUNT(AZ4:AZ49)</f>
        <v/>
      </c>
      <c r="BA53" s="173">
        <f>COUNT(BA4:BA49)</f>
        <v/>
      </c>
      <c r="BB53" s="171">
        <f>COUNT(BB4:BB49)</f>
        <v/>
      </c>
      <c r="BC53" s="176">
        <f>COUNT(BC4:BC49)</f>
        <v/>
      </c>
      <c r="BD53" s="172">
        <f>COUNT(BD4:BD49)</f>
        <v/>
      </c>
      <c r="BE53" s="171">
        <f>COUNT(BE4:BE49)</f>
        <v/>
      </c>
      <c r="BF53" s="171">
        <f>COUNT(BF4:BF49)</f>
        <v/>
      </c>
      <c r="BG53" s="171">
        <f>COUNT(BG4:BG49)</f>
        <v/>
      </c>
      <c r="BH53" s="181">
        <f>COUNT(BH4:BH49)</f>
        <v/>
      </c>
      <c r="BI53" s="181">
        <f>COUNT(BI4:BI49)</f>
        <v/>
      </c>
      <c r="BJ53" s="163" t="inlineStr">
        <is>
          <t>Total Positions Covered</t>
        </is>
      </c>
      <c r="BK53" s="182" t="inlineStr">
        <is>
          <t>darker shades cover more work roles</t>
        </is>
      </c>
    </row>
    <row r="54">
      <c r="A54" s="163" t="inlineStr">
        <is>
          <t>Total "Points" (proficiency levels × positions)</t>
        </is>
      </c>
      <c r="B54" s="183">
        <f>SUM(B4:B49)</f>
        <v/>
      </c>
      <c r="C54" s="184">
        <f>SUM(C4:C49)</f>
        <v/>
      </c>
      <c r="D54" s="185">
        <f>SUM(D4:D49)</f>
        <v/>
      </c>
      <c r="E54" s="186">
        <f>SUM(E4:E49)</f>
        <v/>
      </c>
      <c r="F54" s="187">
        <f>SUM(F4:F49)</f>
        <v/>
      </c>
      <c r="G54" s="188">
        <f>SUM(G4:G49)</f>
        <v/>
      </c>
      <c r="H54" s="189">
        <f>SUM(H4:H49)</f>
        <v/>
      </c>
      <c r="I54" s="190">
        <f>SUM(I4:I49)</f>
        <v/>
      </c>
      <c r="J54" s="191">
        <f>SUM(J4:J49)</f>
        <v/>
      </c>
      <c r="K54" s="192">
        <f>SUM(K4:K49)</f>
        <v/>
      </c>
      <c r="L54" s="192">
        <f>SUM(L4:L49)</f>
        <v/>
      </c>
      <c r="M54" s="193">
        <f>SUM(M4:M49)</f>
        <v/>
      </c>
      <c r="N54" s="194">
        <f>SUM(N4:N49)</f>
        <v/>
      </c>
      <c r="O54" s="191">
        <f>SUM(O4:O49)</f>
        <v/>
      </c>
      <c r="P54" s="195">
        <f>SUM(P4:P49)</f>
        <v/>
      </c>
      <c r="Q54" s="191">
        <f>SUM(Q4:Q49)</f>
        <v/>
      </c>
      <c r="R54" s="196">
        <f>SUM(R4:R49)</f>
        <v/>
      </c>
      <c r="S54" s="197">
        <f>SUM(S4:S49)</f>
        <v/>
      </c>
      <c r="T54" s="187">
        <f>SUM(T4:T49)</f>
        <v/>
      </c>
      <c r="U54" s="194">
        <f>SUM(U4:U49)</f>
        <v/>
      </c>
      <c r="V54" s="198">
        <f>SUM(V4:V49)</f>
        <v/>
      </c>
      <c r="W54" s="199">
        <f>SUM(W4:W49)</f>
        <v/>
      </c>
      <c r="X54" s="200">
        <f>SUM(X4:X49)</f>
        <v/>
      </c>
      <c r="Y54" s="187">
        <f>SUM(Y4:Y49)</f>
        <v/>
      </c>
      <c r="Z54" s="201">
        <f>SUM(Z4:Z49)</f>
        <v/>
      </c>
      <c r="AA54" s="197">
        <f>SUM(AA4:AA49)</f>
        <v/>
      </c>
      <c r="AB54" s="202">
        <f>SUM(AB4:AB49)</f>
        <v/>
      </c>
      <c r="AC54" s="202">
        <f>SUM(AC4:AC49)</f>
        <v/>
      </c>
      <c r="AD54" s="203">
        <f>SUM(AD4:AD49)</f>
        <v/>
      </c>
      <c r="AE54" s="190">
        <f>SUM(AE4:AE49)</f>
        <v/>
      </c>
      <c r="AF54" s="200">
        <f>SUM(AF4:AF49)</f>
        <v/>
      </c>
      <c r="AG54" s="204">
        <f>SUM(AG4:AG49)</f>
        <v/>
      </c>
      <c r="AH54" s="204">
        <f>SUM(AH4:AH49)</f>
        <v/>
      </c>
      <c r="AI54" s="183">
        <f>SUM(AI4:AI49)</f>
        <v/>
      </c>
      <c r="AJ54" s="205">
        <f>SUM(AJ4:AJ49)</f>
        <v/>
      </c>
      <c r="AK54" s="192">
        <f>SUM(AK4:AK49)</f>
        <v/>
      </c>
      <c r="AL54" s="206">
        <f>SUM(AL4:AL49)</f>
        <v/>
      </c>
      <c r="AM54" s="201">
        <f>SUM(AM4:AM49)</f>
        <v/>
      </c>
      <c r="AN54" s="184">
        <f>SUM(AN4:AN49)</f>
        <v/>
      </c>
      <c r="AO54" s="207">
        <f>SUM(AO4:AO49)</f>
        <v/>
      </c>
      <c r="AP54" s="208">
        <f>SUM(AP4:AP49)</f>
        <v/>
      </c>
      <c r="AQ54" s="195">
        <f>SUM(AQ4:AQ49)</f>
        <v/>
      </c>
      <c r="AR54" s="195">
        <f>SUM(AR4:AR49)</f>
        <v/>
      </c>
      <c r="AS54" s="209">
        <f>SUM(AS4:AS49)</f>
        <v/>
      </c>
      <c r="AT54" s="197">
        <f>SUM(AT4:AT49)</f>
        <v/>
      </c>
      <c r="AU54" s="186">
        <f>SUM(AU4:AU49)</f>
        <v/>
      </c>
      <c r="AV54" s="202">
        <f>SUM(AV4:AV49)</f>
        <v/>
      </c>
      <c r="AW54" s="210">
        <f>SUM(AW4:AW49)</f>
        <v/>
      </c>
      <c r="AX54" s="211">
        <f>SUM(AX4:AX49)</f>
        <v/>
      </c>
      <c r="AY54" s="183">
        <f>SUM(AY4:AY49)</f>
        <v/>
      </c>
      <c r="AZ54" s="184">
        <f>SUM(AZ4:AZ49)</f>
        <v/>
      </c>
      <c r="BA54" s="204">
        <f>SUM(BA4:BA49)</f>
        <v/>
      </c>
      <c r="BB54" s="183">
        <f>SUM(BB4:BB49)</f>
        <v/>
      </c>
      <c r="BC54" s="209">
        <f>SUM(BC4:BC49)</f>
        <v/>
      </c>
      <c r="BD54" s="186">
        <f>SUM(BD4:BD49)</f>
        <v/>
      </c>
      <c r="BE54" s="193">
        <f>SUM(BE4:BE49)</f>
        <v/>
      </c>
      <c r="BF54" s="193">
        <f>SUM(BF4:BF49)</f>
        <v/>
      </c>
      <c r="BG54" s="183">
        <f>SUM(BG4:BG49)</f>
        <v/>
      </c>
      <c r="BH54" s="211">
        <f>SUM(BH4:BH49)</f>
        <v/>
      </c>
      <c r="BI54" s="192">
        <f>SUM(BI4:BI49)</f>
        <v/>
      </c>
      <c r="BJ54" s="163" t="inlineStr">
        <is>
          <t>Total "Points"</t>
        </is>
      </c>
    </row>
    <row r="57" ht="30" customHeight="1">
      <c r="A57" s="212" t="inlineStr">
        <is>
          <t>Note: The following work roles exist in DoD 8140 V2.1 but have no published certification options (pending DoD review): (462) Control Systems Security Specialist, (731) Cyber Legal Advisor, (901) Executive Cyber Leader.</t>
        </is>
      </c>
    </row>
  </sheetData>
  <mergeCells count="14">
    <mergeCell ref="BF2:BI2"/>
    <mergeCell ref="I2:N2"/>
    <mergeCell ref="BD2:BE2"/>
    <mergeCell ref="A29:BJ29"/>
    <mergeCell ref="AW2:AX2"/>
    <mergeCell ref="A1:BJ1"/>
    <mergeCell ref="AN2:AV2"/>
    <mergeCell ref="BK53:BK54"/>
    <mergeCell ref="A57:BJ57"/>
    <mergeCell ref="B2:H2"/>
    <mergeCell ref="O2:R2"/>
    <mergeCell ref="AL2:AM2"/>
    <mergeCell ref="S2:AK2"/>
    <mergeCell ref="AY2:BB2"/>
  </mergeCells>
  <hyperlinks>
    <hyperlink xmlns:r="http://schemas.openxmlformats.org/officeDocument/2006/relationships" ref="A29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 Krueger</dc:creator>
  <dc:title xmlns:dc="http://purl.org/dc/elements/1.1/">DoD 8140.03 Cert Path Reference</dc:title>
  <dc:description xmlns:dc="http://purl.org/dc/elements/1.1/">DoD 8140.03 cybersecurity workforce qualification — certification-path reference. Compiled by Jeff Krueger. Unaffiliated with any firm or agency.</dc:description>
  <dcterms:created xmlns:dcterms="http://purl.org/dc/terms/" xmlns:xsi="http://www.w3.org/2001/XMLSchema-instance" xsi:type="dcterms:W3CDTF">2026-04-19T03:07:18Z</dcterms:created>
  <dcterms:modified xmlns:dcterms="http://purl.org/dc/terms/" xmlns:xsi="http://www.w3.org/2001/XMLSchema-instance" xsi:type="dcterms:W3CDTF">2026-04-19T03:07:18Z</dcterms:modified>
  <cp:lastModifiedBy>Jeff Krueger</cp:lastModifiedBy>
</cp:coreProperties>
</file>