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anation" sheetId="1" state="visible" r:id="rId1"/>
    <sheet xmlns:r="http://schemas.openxmlformats.org/officeDocument/2006/relationships" name="Certification Requirements" sheetId="2" state="visible" r:id="rId2"/>
    <sheet xmlns:r="http://schemas.openxmlformats.org/officeDocument/2006/relationships" name="Certificatio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i val="1"/>
    </font>
    <font>
      <b val="1"/>
      <color rgb="FFFFFFFF"/>
      <sz val="12"/>
    </font>
    <font>
      <b val="1"/>
    </font>
    <font>
      <b val="1"/>
      <i val="1"/>
      <color rgb="FFFFFFFF"/>
    </font>
    <font>
      <i val="1"/>
      <color rgb="FF595959"/>
    </font>
  </fonts>
  <fills count="4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F4E79"/>
      </patternFill>
    </fill>
    <fill>
      <patternFill patternType="solid">
        <fgColor rgb="FF6D6D6D"/>
      </patternFill>
    </fill>
    <fill>
      <patternFill patternType="solid">
        <fgColor rgb="FF2E75B6"/>
      </patternFill>
    </fill>
    <fill>
      <patternFill patternType="solid">
        <fgColor rgb="FFC05A00"/>
      </patternFill>
    </fill>
    <fill>
      <patternFill patternType="solid">
        <fgColor rgb="FF7030A0"/>
      </patternFill>
    </fill>
    <fill>
      <patternFill patternType="solid">
        <fgColor rgb="FFBF8F00"/>
      </patternFill>
    </fill>
    <fill>
      <patternFill patternType="solid">
        <fgColor rgb="FF0F7287"/>
      </patternFill>
    </fill>
    <fill>
      <patternFill patternType="solid">
        <fgColor rgb="FF996633"/>
      </patternFill>
    </fill>
    <fill>
      <patternFill patternType="solid">
        <fgColor rgb="FF548235"/>
      </patternFill>
    </fill>
    <fill>
      <patternFill patternType="solid">
        <fgColor rgb="FF6F6000"/>
      </patternFill>
    </fill>
    <fill>
      <patternFill patternType="solid">
        <fgColor rgb="FF1F4E3C"/>
      </patternFill>
    </fill>
    <fill>
      <patternFill patternType="solid">
        <fgColor rgb="FF7F6000"/>
      </patternFill>
    </fill>
    <fill>
      <patternFill patternType="solid">
        <fgColor rgb="FF808080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8064A2"/>
      </patternFill>
    </fill>
    <fill>
      <patternFill patternType="solid">
        <fgColor rgb="FFFFC000"/>
      </patternFill>
    </fill>
    <fill>
      <patternFill patternType="solid">
        <fgColor rgb="FF4BACC6"/>
      </patternFill>
    </fill>
    <fill>
      <patternFill patternType="solid">
        <fgColor rgb="FFA47B4A"/>
      </patternFill>
    </fill>
    <fill>
      <patternFill patternType="solid">
        <fgColor rgb="FF70AD47"/>
      </patternFill>
    </fill>
    <fill>
      <patternFill patternType="solid">
        <fgColor rgb="FF938953"/>
      </patternFill>
    </fill>
    <fill>
      <patternFill patternType="solid">
        <fgColor rgb="FF2E7D5B"/>
      </patternFill>
    </fill>
    <fill>
      <patternFill patternType="solid">
        <fgColor rgb="FFBF9000"/>
      </patternFill>
    </fill>
    <fill>
      <patternFill patternType="solid">
        <fgColor rgb="FFE0E0E0"/>
      </patternFill>
    </fill>
    <fill>
      <patternFill patternType="solid">
        <fgColor rgb="FFB0B0B0"/>
      </patternFill>
    </fill>
    <fill>
      <patternFill patternType="solid">
        <fgColor rgb="FFADC6E3"/>
      </patternFill>
    </fill>
    <fill>
      <patternFill patternType="solid">
        <fgColor rgb="FFB197D6"/>
      </patternFill>
    </fill>
    <fill>
      <patternFill patternType="solid">
        <fgColor rgb="FF9ED1DB"/>
      </patternFill>
    </fill>
    <fill>
      <patternFill patternType="solid">
        <fgColor rgb="FFDDEBF7"/>
      </patternFill>
    </fill>
    <fill>
      <patternFill patternType="solid">
        <fgColor rgb="FFFF0000"/>
      </patternFill>
    </fill>
    <fill>
      <patternFill patternType="solid">
        <fgColor rgb="FFF4B084"/>
      </patternFill>
    </fill>
    <fill>
      <patternFill patternType="solid">
        <fgColor rgb="FFC99D66"/>
      </patternFill>
    </fill>
    <fill>
      <patternFill patternType="solid">
        <fgColor rgb="FFC8B56B"/>
      </patternFill>
    </fill>
    <fill>
      <patternFill patternType="solid">
        <fgColor rgb="FFE4D7F0"/>
      </patternFill>
    </fill>
    <fill>
      <patternFill patternType="solid">
        <fgColor rgb="FFD3EEF3"/>
      </patternFill>
    </fill>
    <fill>
      <patternFill patternType="solid">
        <fgColor rgb="FFA9D08E"/>
      </patternFill>
    </fill>
    <fill>
      <patternFill patternType="solid">
        <fgColor rgb="FF7AB89A"/>
      </patternFill>
    </fill>
    <fill>
      <patternFill patternType="solid">
        <fgColor rgb="FF203864"/>
      </patternFill>
    </fill>
    <fill>
      <patternFill patternType="solid">
        <fgColor rgb="FFE2C87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D966"/>
      </patternFill>
    </fill>
    <fill>
      <patternFill patternType="solid">
        <fgColor rgb="FFE8DCCA"/>
      </patternFill>
    </fill>
    <fill>
      <patternFill patternType="solid">
        <fgColor rgb="FFE2EFDA"/>
      </patternFill>
    </fill>
    <fill>
      <patternFill patternType="solid">
        <fgColor rgb="FFECE4BD"/>
      </patternFill>
    </fill>
    <fill>
      <patternFill patternType="solid">
        <fgColor rgb="FFCCE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bottom" textRotation="90"/>
    </xf>
    <xf numFmtId="0" fontId="2" fillId="16" borderId="0" applyAlignment="1" pivotButton="0" quotePrefix="0" xfId="0">
      <alignment horizontal="center" vertical="bottom" textRotation="90"/>
    </xf>
    <xf numFmtId="0" fontId="2" fillId="17" borderId="0" applyAlignment="1" pivotButton="0" quotePrefix="0" xfId="0">
      <alignment horizontal="center" vertical="bottom" textRotation="90"/>
    </xf>
    <xf numFmtId="0" fontId="2" fillId="18" borderId="0" applyAlignment="1" pivotButton="0" quotePrefix="0" xfId="0">
      <alignment horizontal="center" vertical="bottom" textRotation="90"/>
    </xf>
    <xf numFmtId="0" fontId="2" fillId="19" borderId="0" applyAlignment="1" pivotButton="0" quotePrefix="0" xfId="0">
      <alignment horizontal="center" vertical="bottom" textRotation="90"/>
    </xf>
    <xf numFmtId="0" fontId="2" fillId="20" borderId="0" applyAlignment="1" pivotButton="0" quotePrefix="0" xfId="0">
      <alignment horizontal="center" vertical="bottom" textRotation="90"/>
    </xf>
    <xf numFmtId="0" fontId="2" fillId="21" borderId="0" applyAlignment="1" pivotButton="0" quotePrefix="0" xfId="0">
      <alignment horizontal="center" vertical="bottom" textRotation="90"/>
    </xf>
    <xf numFmtId="0" fontId="2" fillId="22" borderId="0" applyAlignment="1" pivotButton="0" quotePrefix="0" xfId="0">
      <alignment horizontal="center" vertical="bottom" textRotation="90"/>
    </xf>
    <xf numFmtId="0" fontId="2" fillId="23" borderId="0" applyAlignment="1" pivotButton="0" quotePrefix="0" xfId="0">
      <alignment horizontal="center" vertical="bottom" textRotation="90"/>
    </xf>
    <xf numFmtId="0" fontId="2" fillId="24" borderId="0" applyAlignment="1" pivotButton="0" quotePrefix="0" xfId="0">
      <alignment horizontal="center" vertical="bottom" textRotation="90"/>
    </xf>
    <xf numFmtId="0" fontId="2" fillId="25" borderId="0" applyAlignment="1" pivotButton="0" quotePrefix="0" xfId="0">
      <alignment horizontal="center" vertical="bottom" textRotation="90"/>
    </xf>
    <xf numFmtId="0" fontId="5" fillId="26" borderId="0" applyAlignment="1" pivotButton="0" quotePrefix="0" xfId="0">
      <alignment horizontal="center" vertical="center"/>
    </xf>
    <xf numFmtId="0" fontId="5" fillId="27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center"/>
    </xf>
    <xf numFmtId="0" fontId="5" fillId="28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center" vertical="center"/>
    </xf>
    <xf numFmtId="0" fontId="5" fillId="29" borderId="0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5" fillId="19" borderId="0" applyAlignment="1" pivotButton="0" quotePrefix="0" xfId="0">
      <alignment horizontal="center" vertical="center"/>
    </xf>
    <xf numFmtId="0" fontId="5" fillId="20" borderId="0" applyAlignment="1" pivotButton="0" quotePrefix="0" xfId="0">
      <alignment horizontal="center" vertical="center"/>
    </xf>
    <xf numFmtId="0" fontId="5" fillId="22" borderId="0" applyAlignment="1" pivotButton="0" quotePrefix="0" xfId="0">
      <alignment horizontal="center" vertical="center"/>
    </xf>
    <xf numFmtId="0" fontId="5" fillId="30" borderId="0" applyAlignment="1" pivotButton="0" quotePrefix="0" xfId="0">
      <alignment horizontal="center" vertical="center"/>
    </xf>
    <xf numFmtId="0" fontId="5" fillId="31" borderId="0" applyAlignment="1" pivotButton="0" quotePrefix="0" xfId="0">
      <alignment horizontal="center" vertical="center"/>
    </xf>
    <xf numFmtId="0" fontId="2" fillId="32" borderId="0" applyAlignment="1" pivotButton="0" quotePrefix="0" xfId="0">
      <alignment horizontal="left" vertical="center" wrapText="1"/>
    </xf>
    <xf numFmtId="0" fontId="5" fillId="33" borderId="0" applyAlignment="1" pivotButton="0" quotePrefix="0" xfId="0">
      <alignment horizontal="center" vertical="center"/>
    </xf>
    <xf numFmtId="0" fontId="5" fillId="34" borderId="0" applyAlignment="1" pivotButton="0" quotePrefix="0" xfId="0">
      <alignment horizontal="center" vertical="center"/>
    </xf>
    <xf numFmtId="0" fontId="5" fillId="24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  <xf numFmtId="0" fontId="5" fillId="23" borderId="0" applyAlignment="1" pivotButton="0" quotePrefix="0" xfId="0">
      <alignment horizontal="center" vertical="center"/>
    </xf>
    <xf numFmtId="0" fontId="5" fillId="21" borderId="0" applyAlignment="1" pivotButton="0" quotePrefix="0" xfId="0">
      <alignment horizontal="center" vertical="center"/>
    </xf>
    <xf numFmtId="0" fontId="5" fillId="35" borderId="0" applyAlignment="1" pivotButton="0" quotePrefix="0" xfId="0">
      <alignment horizontal="center" vertical="center"/>
    </xf>
    <xf numFmtId="0" fontId="5" fillId="36" borderId="0" applyAlignment="1" pivotButton="0" quotePrefix="0" xfId="0">
      <alignment horizontal="center" vertical="center"/>
    </xf>
    <xf numFmtId="0" fontId="5" fillId="37" borderId="0" applyAlignment="1" pivotButton="0" quotePrefix="0" xfId="0">
      <alignment horizontal="center" vertical="center"/>
    </xf>
    <xf numFmtId="0" fontId="5" fillId="38" borderId="0" applyAlignment="1" pivotButton="0" quotePrefix="0" xfId="0">
      <alignment horizontal="center" vertical="center"/>
    </xf>
    <xf numFmtId="0" fontId="5" fillId="39" borderId="0" applyAlignment="1" pivotButton="0" quotePrefix="0" xfId="0">
      <alignment horizontal="center" vertical="center"/>
    </xf>
    <xf numFmtId="0" fontId="6" fillId="40" borderId="0" applyAlignment="1" pivotButton="0" quotePrefix="0" xfId="0">
      <alignment horizontal="left" vertical="center" wrapText="1"/>
    </xf>
    <xf numFmtId="0" fontId="5" fillId="41" borderId="0" applyAlignment="1" pivotButton="0" quotePrefix="0" xfId="0">
      <alignment horizontal="center" vertical="center"/>
    </xf>
    <xf numFmtId="0" fontId="5" fillId="25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26" borderId="0" applyAlignment="1" pivotButton="0" quotePrefix="0" xfId="0">
      <alignment horizontal="center" vertical="center"/>
    </xf>
    <xf numFmtId="0" fontId="0" fillId="31" borderId="0" applyAlignment="1" pivotButton="0" quotePrefix="0" xfId="0">
      <alignment horizontal="center" vertical="center"/>
    </xf>
    <xf numFmtId="0" fontId="0" fillId="42" borderId="0" applyAlignment="1" pivotButton="0" quotePrefix="0" xfId="0">
      <alignment horizontal="center" vertical="center"/>
    </xf>
    <xf numFmtId="0" fontId="0" fillId="36" borderId="0" applyAlignment="1" pivotButton="0" quotePrefix="0" xfId="0">
      <alignment horizontal="center" vertical="center"/>
    </xf>
    <xf numFmtId="0" fontId="0" fillId="43" borderId="0" applyAlignment="1" pivotButton="0" quotePrefix="0" xfId="0">
      <alignment horizontal="center" vertical="center"/>
    </xf>
    <xf numFmtId="0" fontId="0" fillId="37" borderId="0" applyAlignment="1" pivotButton="0" quotePrefix="0" xfId="0">
      <alignment horizontal="center" vertical="center"/>
    </xf>
    <xf numFmtId="0" fontId="0" fillId="45" borderId="0" applyAlignment="1" pivotButton="0" quotePrefix="0" xfId="0">
      <alignment horizontal="center" vertical="center"/>
    </xf>
    <xf numFmtId="0" fontId="0" fillId="46" borderId="0" applyAlignment="1" pivotButton="0" quotePrefix="0" xfId="0">
      <alignment horizontal="center" vertical="center"/>
    </xf>
    <xf numFmtId="0" fontId="0" fillId="47" borderId="0" applyAlignment="1" pivotButton="0" quotePrefix="0" xfId="0">
      <alignment horizontal="center" vertical="center"/>
    </xf>
    <xf numFmtId="0" fontId="0" fillId="48" borderId="0" applyAlignment="1" pivotButton="0" quotePrefix="0" xfId="0">
      <alignment horizontal="center" vertical="center"/>
    </xf>
    <xf numFmtId="0" fontId="0" fillId="27" borderId="0" applyAlignment="1" pivotButton="0" quotePrefix="0" xfId="0">
      <alignment horizontal="center" vertical="center"/>
    </xf>
    <xf numFmtId="0" fontId="0" fillId="28" borderId="0" applyAlignment="1" pivotButton="0" quotePrefix="0" xfId="0">
      <alignment horizontal="center" vertical="center"/>
    </xf>
    <xf numFmtId="0" fontId="0" fillId="33" borderId="0" applyAlignment="1" pivotButton="0" quotePrefix="0" xfId="0">
      <alignment horizontal="center" vertical="center"/>
    </xf>
    <xf numFmtId="0" fontId="0" fillId="29" borderId="0" applyAlignment="1" pivotButton="0" quotePrefix="0" xfId="0">
      <alignment horizontal="center" vertical="center"/>
    </xf>
    <xf numFmtId="0" fontId="0" fillId="44" borderId="0" applyAlignment="1" pivotButton="0" quotePrefix="0" xfId="0">
      <alignment horizontal="center" vertical="center"/>
    </xf>
    <xf numFmtId="0" fontId="0" fillId="30" borderId="0" applyAlignment="1" pivotButton="0" quotePrefix="0" xfId="0">
      <alignment horizontal="center" vertical="center"/>
    </xf>
    <xf numFmtId="0" fontId="0" fillId="34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0" fontId="0" fillId="35" borderId="0" applyAlignment="1" pivotButton="0" quotePrefix="0" xfId="0">
      <alignment horizontal="center" vertical="center"/>
    </xf>
    <xf numFmtId="0" fontId="0" fillId="39" borderId="0" applyAlignment="1" pivotButton="0" quotePrefix="0" xfId="0">
      <alignment horizontal="center" vertical="center"/>
    </xf>
    <xf numFmtId="0" fontId="0" fillId="41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cyber.mil/training/cyber-10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DoD 8140 Cybersecurity Workforce Qualification — Personal Certification Path</t>
        </is>
      </c>
    </row>
    <row r="2">
      <c r="A2" t="inlineStr"/>
    </row>
    <row r="3">
      <c r="A3" t="inlineStr">
        <is>
          <t>[PLACEHOLDER — narrative to be rewritten by Jeff]</t>
        </is>
      </c>
    </row>
    <row r="4">
      <c r="A4" t="inlineStr"/>
    </row>
    <row r="5">
      <c r="A5" t="inlineStr">
        <is>
          <t>This workbook presents the certification-path options from DoDM 8140.03, sourced from the DoD 8140 Foundational Qualification Matrix V2.1 (effective 2025-09-19). Other qualification paths in the DoD 8140 paradigm (education, DoD training, commercial training, experience) are intentionally out of scope for this reference.</t>
        </is>
      </c>
    </row>
    <row r="6">
      <c r="A6" t="inlineStr"/>
    </row>
    <row r="7">
      <c r="A7" t="inlineStr">
        <is>
          <t>Tabs:</t>
        </is>
      </c>
    </row>
    <row r="8">
      <c r="A8" t="inlineStr">
        <is>
          <t xml:space="preserve">  - 'Certification Requirements' — per-role summary: for each work role, the approved certification options at Basic / Intermediate / Advanced levels.</t>
        </is>
      </c>
    </row>
    <row r="9">
      <c r="A9" t="inlineStr">
        <is>
          <t xml:space="preserve">  - 'Certification Analysis' — inverted pivot view: all certs across all work roles on one page. Cells contain the highest proficiency level (1 = Basic, 2 = Intermediate, 3 = Advanced) at which that cert qualifies a person for that role. Summary rows at the bottom.</t>
        </is>
      </c>
    </row>
    <row r="10">
      <c r="A10" t="inlineStr"/>
    </row>
    <row r="11">
      <c r="A11" t="inlineStr">
        <is>
          <t>Work roles with no certification data (pending DoD review):</t>
        </is>
      </c>
    </row>
    <row r="12">
      <c r="A12" t="inlineStr">
        <is>
          <t xml:space="preserve">  - (462) Control Systems Security Specialist</t>
        </is>
      </c>
    </row>
    <row r="13">
      <c r="A13" t="inlineStr">
        <is>
          <t xml:space="preserve">  - (731) Cyber Legal Advisor</t>
        </is>
      </c>
    </row>
    <row r="14">
      <c r="A14" t="inlineStr">
        <is>
          <t xml:space="preserve">  - (901) Executive Cyber Leader</t>
        </is>
      </c>
    </row>
    <row r="15">
      <c r="A15" t="inlineStr"/>
    </row>
    <row r="16">
      <c r="A16" t="inlineStr">
        <is>
          <t>These roles exist in the DoD 8140 V2.1 role universe but have no published certification options. Omitted from the matrix; will be added when DoD publishes data.</t>
        </is>
      </c>
    </row>
    <row r="17">
      <c r="A17" t="inlineStr"/>
    </row>
    <row r="18">
      <c r="A18" t="inlineStr">
        <is>
          <t>Authoritative source: DoD 8140 Foundational Qualification Matrix V2.1</t>
        </is>
      </c>
    </row>
    <row r="19">
      <c r="A19" t="inlineStr">
        <is>
          <t>URL at time of refresh: www.cyber.mil/dod-workforce-innovation-directorate/dod8140/qualification-matrices</t>
        </is>
      </c>
    </row>
    <row r="20">
      <c r="A20" t="inlineStr"/>
    </row>
    <row r="21">
      <c r="A21" t="inlineStr">
        <is>
          <t>Compiled by Jeff Krueger.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Certification Path Qualification Options (DoD 8140.03)</t>
        </is>
      </c>
    </row>
    <row r="2">
      <c r="A2" s="2" t="inlineStr">
        <is>
          <t>Work Role</t>
        </is>
      </c>
      <c r="B2" s="2" t="inlineStr">
        <is>
          <t>Basic</t>
        </is>
      </c>
      <c r="C2" s="2" t="inlineStr">
        <is>
          <t>Intermediate</t>
        </is>
      </c>
      <c r="D2" s="2" t="inlineStr">
        <is>
          <t>Advanced</t>
        </is>
      </c>
    </row>
    <row r="3">
      <c r="A3" s="3" t="inlineStr">
        <is>
          <t>(111) All-Source Analyst</t>
        </is>
      </c>
      <c r="B3" s="3" t="n"/>
      <c r="C3" s="3" t="n"/>
      <c r="D3" s="3" t="inlineStr">
        <is>
          <t>CySA+, GCTI, RCCE Level 1</t>
        </is>
      </c>
    </row>
    <row r="4">
      <c r="A4" s="3" t="inlineStr">
        <is>
          <t>(121) Exploitation Analyst</t>
        </is>
      </c>
      <c r="B4" s="3" t="n"/>
      <c r="C4" s="3" t="n"/>
      <c r="D4" s="3" t="inlineStr">
        <is>
          <t>GCIH, GPEN, PenTest+</t>
        </is>
      </c>
    </row>
    <row r="5">
      <c r="A5" s="3" t="inlineStr">
        <is>
          <t>(131) Joint Targeting Analyst</t>
        </is>
      </c>
      <c r="B5" s="3" t="n"/>
      <c r="C5" s="3" t="n"/>
      <c r="D5" s="3" t="inlineStr">
        <is>
          <t>GPEN</t>
        </is>
      </c>
    </row>
    <row r="6">
      <c r="A6" s="3" t="inlineStr">
        <is>
          <t>(132) Target Digital Network Analyst</t>
        </is>
      </c>
      <c r="B6" s="3" t="n"/>
      <c r="C6" s="3" t="n"/>
      <c r="D6" s="3" t="inlineStr">
        <is>
          <t>GCIH, GPEN</t>
        </is>
      </c>
    </row>
    <row r="7">
      <c r="A7" s="3" t="inlineStr">
        <is>
          <t>(211) Forensics Analyst</t>
        </is>
      </c>
      <c r="B7" s="3" t="n"/>
      <c r="C7" s="3" t="inlineStr">
        <is>
          <t>CHFI, PenTest+</t>
        </is>
      </c>
      <c r="D7" s="3" t="inlineStr">
        <is>
          <t>CFR, CySA+, GCFA, GCFE, RCCE Level 1</t>
        </is>
      </c>
    </row>
    <row r="8">
      <c r="A8" s="3" t="inlineStr">
        <is>
          <t>(212) Cyber Defense Forensics Analyst</t>
        </is>
      </c>
      <c r="B8" s="3" t="n"/>
      <c r="C8" s="3" t="inlineStr">
        <is>
          <t>CHFI, RCCE Level 1</t>
        </is>
      </c>
      <c r="D8" s="3" t="inlineStr">
        <is>
          <t>CFR, CySA+, GCFA, GCFE, GREM, PenTest+</t>
        </is>
      </c>
    </row>
    <row r="9">
      <c r="A9" s="3" t="inlineStr">
        <is>
          <t>(221) Cyber Crime Investigator</t>
        </is>
      </c>
      <c r="B9" s="3" t="inlineStr">
        <is>
          <t>GCIH</t>
        </is>
      </c>
      <c r="C9" s="3" t="inlineStr">
        <is>
          <t>CHFI, PenTest+</t>
        </is>
      </c>
      <c r="D9" s="3" t="inlineStr">
        <is>
          <t>CFR, CySA+, GCFA, GCFE, SecurityX / CASP+</t>
        </is>
      </c>
    </row>
    <row r="10">
      <c r="A10" s="3" t="inlineStr">
        <is>
          <t>(311) All-Source Collection Manager</t>
        </is>
      </c>
      <c r="B10" s="3" t="n"/>
      <c r="C10" s="3" t="n"/>
      <c r="D10" s="3" t="inlineStr">
        <is>
          <t>GCFA, GCTI</t>
        </is>
      </c>
    </row>
    <row r="11">
      <c r="A11" s="3" t="inlineStr">
        <is>
          <t>(312) All-Source Collection Requirements Manager</t>
        </is>
      </c>
      <c r="B11" s="3" t="n"/>
      <c r="C11" s="3" t="n"/>
      <c r="D11" s="3" t="inlineStr">
        <is>
          <t>GCFA, GCTI</t>
        </is>
      </c>
    </row>
    <row r="12">
      <c r="A12" s="3" t="inlineStr">
        <is>
          <t>(331) Cyber Intelligence Planner</t>
        </is>
      </c>
      <c r="B12" s="3" t="n"/>
      <c r="C12" s="3" t="n"/>
      <c r="D12" s="3" t="inlineStr">
        <is>
          <t>GCTI</t>
        </is>
      </c>
    </row>
    <row r="13">
      <c r="A13" s="3" t="inlineStr">
        <is>
          <t>(332) Cyber Operations Planner</t>
        </is>
      </c>
      <c r="B13" s="3" t="n"/>
      <c r="C13" s="3" t="n"/>
      <c r="D13" s="3" t="inlineStr">
        <is>
          <t>GCIH, GPEN, RCCE Level 1</t>
        </is>
      </c>
    </row>
    <row r="14">
      <c r="A14" s="3" t="inlineStr">
        <is>
          <t>(411) Technical Support Specialist</t>
        </is>
      </c>
      <c r="B14" s="3" t="inlineStr">
        <is>
          <t>A+, Network+</t>
        </is>
      </c>
      <c r="C14" s="3" t="inlineStr">
        <is>
          <t>CND, GFACT, GSEC, Security+</t>
        </is>
      </c>
      <c r="D14" s="3" t="inlineStr">
        <is>
          <t>CCNP Security, CISA, FITSP-O, GICSP, SSCP, SecurityX / CASP+</t>
        </is>
      </c>
    </row>
    <row r="15">
      <c r="A15" s="3" t="inlineStr">
        <is>
          <t>(421) Database Administrator</t>
        </is>
      </c>
      <c r="B15" s="3" t="n"/>
      <c r="C15" s="3" t="inlineStr">
        <is>
          <t>Cloud+, GSEC, SSCP, Security+</t>
        </is>
      </c>
      <c r="D15" s="3" t="inlineStr">
        <is>
          <t>CCNP Security, CISA, CISSP, CISSP-ISSAP, CISSP-ISSEP, SecurityX / CASP+</t>
        </is>
      </c>
    </row>
    <row r="16">
      <c r="A16" s="3" t="inlineStr">
        <is>
          <t>(422) Data Analyst</t>
        </is>
      </c>
      <c r="B16" s="3" t="n"/>
      <c r="C16" s="3" t="inlineStr">
        <is>
          <t>GSEC, SSCP</t>
        </is>
      </c>
      <c r="D16" s="3" t="inlineStr">
        <is>
          <t>CCISO, CISM, CISSP, GSLC</t>
        </is>
      </c>
    </row>
    <row r="17">
      <c r="A17" s="3" t="inlineStr">
        <is>
          <t>(431) Knowledge Manager</t>
        </is>
      </c>
      <c r="B17" s="3" t="n"/>
      <c r="C17" s="3" t="inlineStr">
        <is>
          <t>SSCP, Security+</t>
        </is>
      </c>
      <c r="D17" s="3" t="n"/>
    </row>
    <row r="18">
      <c r="A18" s="3" t="inlineStr">
        <is>
          <t>(441) Network Operations Specialist</t>
        </is>
      </c>
      <c r="B18" s="3" t="inlineStr">
        <is>
          <t>CND, Network+</t>
        </is>
      </c>
      <c r="C18" s="3" t="inlineStr">
        <is>
          <t>CEH, Cloud+, GCIH, GICSP, GSEC, SSCP, Security+</t>
        </is>
      </c>
      <c r="D18" s="3" t="inlineStr">
        <is>
          <t>CCNA, CCNP Security, CCSP, GCED, GCIA, GCLD, GDSA, GFACT, SecurityX / CASP+</t>
        </is>
      </c>
    </row>
    <row r="19">
      <c r="A19" s="3" t="inlineStr">
        <is>
          <t>(451) System Administrator</t>
        </is>
      </c>
      <c r="B19" s="3" t="inlineStr">
        <is>
          <t>A+, CND, Network+</t>
        </is>
      </c>
      <c r="C19" s="3" t="inlineStr">
        <is>
          <t>Cloud+, GICSP, GSEC, SSCP, Security+</t>
        </is>
      </c>
      <c r="D19" s="3" t="inlineStr">
        <is>
          <t>CCNP Security, CCSP, FITSP-O, GFACT, SecurityX / CASP+</t>
        </is>
      </c>
    </row>
    <row r="20">
      <c r="A20" s="3" t="inlineStr">
        <is>
          <t>(461) Systems Security Analyst</t>
        </is>
      </c>
      <c r="B20" s="3" t="inlineStr">
        <is>
          <t>CND, SSCP</t>
        </is>
      </c>
      <c r="C20" s="3" t="inlineStr">
        <is>
          <t>CCSP, Cloud+, GICSP, GISF, GSEC, Security+</t>
        </is>
      </c>
      <c r="D20" s="3" t="inlineStr">
        <is>
          <t>CISSO, CISSP-ISSEP, CySA+, FITSP-O, GCLD, GCSA, GSNA, RCCE Level 1</t>
        </is>
      </c>
    </row>
    <row r="21">
      <c r="A21" s="3" t="inlineStr">
        <is>
          <t>(511) Cyber Defense Analyst</t>
        </is>
      </c>
      <c r="B21" s="3" t="inlineStr">
        <is>
          <t>CC, CEH, GFACT, GISF</t>
        </is>
      </c>
      <c r="C21" s="3" t="inlineStr">
        <is>
          <t>CEH(P), Cloud+, FITSP-O, GCED, GDSA, GMON, GRID, GSEC, PenTest+, Security+</t>
        </is>
      </c>
      <c r="D21" s="3" t="inlineStr">
        <is>
          <t>CBROPS, CFR, CySA+, GCFA, GCIA, GICSP</t>
        </is>
      </c>
    </row>
    <row r="22">
      <c r="A22" s="3" t="inlineStr">
        <is>
          <t>(521) Cyber Defense Infrastructure Support Specialist</t>
        </is>
      </c>
      <c r="B22" s="3" t="inlineStr">
        <is>
          <t>A+, CC, CND, GCLD, GDSA, GFACT, Network+</t>
        </is>
      </c>
      <c r="C22" s="3" t="inlineStr">
        <is>
          <t>CEH, Cloud+, CySA+, GMON, GRID, GSEC, PenTest+, SSCP, Security+</t>
        </is>
      </c>
      <c r="D22" s="3" t="inlineStr">
        <is>
          <t>CISSP-ISSAP, CISSP-ISSEP, GCIA, GICSP</t>
        </is>
      </c>
    </row>
    <row r="23">
      <c r="A23" s="3" t="inlineStr">
        <is>
          <t>(531) Cyber Defense Incident Responder</t>
        </is>
      </c>
      <c r="B23" s="3" t="inlineStr">
        <is>
          <t>CC, GDSA, GISF</t>
        </is>
      </c>
      <c r="C23" s="3" t="inlineStr">
        <is>
          <t>CBROPS, CCSP, CEH, CEH(P), Cloud+, ECIH, FITSP-O, GCED, GCIH, GRID, GSEC, PenTest+, RCCE Level 1, Security+</t>
        </is>
      </c>
      <c r="D23" s="3" t="inlineStr">
        <is>
          <t>CFR, CySA+, GCFA, GCIA, GICSP</t>
        </is>
      </c>
    </row>
    <row r="24">
      <c r="A24" s="3" t="inlineStr">
        <is>
          <t>(541) Vulnerability Assessment Analyst</t>
        </is>
      </c>
      <c r="B24" s="3" t="inlineStr">
        <is>
          <t>CEH</t>
        </is>
      </c>
      <c r="C24" s="3" t="inlineStr">
        <is>
          <t>CEH(P), CPTE, Cloud+, FITSP-A, GCED, GCIH, GCSA, GICSP, GSEC, PenTest+, RCCE Level 1, Security+</t>
        </is>
      </c>
      <c r="D24" s="3" t="inlineStr">
        <is>
          <t>CFR, CISA, CISM, CySA+, GPEN, GSNA</t>
        </is>
      </c>
    </row>
    <row r="25">
      <c r="A25" s="3" t="inlineStr">
        <is>
          <t>(611) Authorizing Official/Designated Representative</t>
        </is>
      </c>
      <c r="B25" s="3" t="n"/>
      <c r="C25" s="3" t="inlineStr">
        <is>
          <t>CCSP, CGRC/CAP, Cloud+, GSEC</t>
        </is>
      </c>
      <c r="D25" s="3" t="inlineStr">
        <is>
          <t>CCISO, CISM, CISSP, CISSP-ISSEP, CISSP-ISSMP, FITSP-M, GCSA, GSLC</t>
        </is>
      </c>
    </row>
    <row r="26">
      <c r="A26" s="3" t="inlineStr">
        <is>
          <t>(612) Security Control Assessor</t>
        </is>
      </c>
      <c r="B26" s="3" t="n"/>
      <c r="C26" s="3" t="inlineStr">
        <is>
          <t>CGRC/CAP, CISSO, Cloud+, FITSP-A, GCSA, GSEC, PenTest+, Security+, SecurityX / CASP+</t>
        </is>
      </c>
      <c r="D26" s="3" t="inlineStr">
        <is>
          <t>CCISO, CISA, CISM, CISSP, CISSP-ISSEP, CySA+, GSLC, GSNA</t>
        </is>
      </c>
    </row>
    <row r="27">
      <c r="A27" s="3" t="inlineStr">
        <is>
          <t>(621) Software Developer</t>
        </is>
      </c>
      <c r="B27" s="3" t="n"/>
      <c r="C27" s="3" t="inlineStr">
        <is>
          <t>CSSLP, GSEC</t>
        </is>
      </c>
      <c r="D27" s="3" t="inlineStr">
        <is>
          <t>CISSP-ISSAP</t>
        </is>
      </c>
    </row>
    <row r="28">
      <c r="A28" s="3" t="inlineStr">
        <is>
          <t>(622) Secure Software Assessor</t>
        </is>
      </c>
      <c r="B28" s="3" t="inlineStr">
        <is>
          <t>GCLD</t>
        </is>
      </c>
      <c r="C28" s="3" t="inlineStr">
        <is>
          <t>CSC, CSSLP, GCSA, GSEC, Security+</t>
        </is>
      </c>
      <c r="D28" s="3" t="inlineStr">
        <is>
          <t>CISSP-ISSEP</t>
        </is>
      </c>
    </row>
    <row r="29">
      <c r="A29" s="3" t="inlineStr">
        <is>
          <t>(631) Information Systems Security Developer</t>
        </is>
      </c>
      <c r="B29" s="3" t="inlineStr">
        <is>
          <t>CC, CND, GISF, SSCP</t>
        </is>
      </c>
      <c r="C29" s="3" t="inlineStr">
        <is>
          <t>CCSP, CSC, Cloud+, GCLD, GCSA, GSEC, SecurityX / CASP+</t>
        </is>
      </c>
      <c r="D29" s="3" t="inlineStr">
        <is>
          <t>CISSP-ISSEP, FITSP-D</t>
        </is>
      </c>
    </row>
    <row r="30">
      <c r="A30" s="3" t="inlineStr">
        <is>
          <t>(632) Systems Developer</t>
        </is>
      </c>
      <c r="B30" s="3" t="inlineStr">
        <is>
          <t>CND</t>
        </is>
      </c>
      <c r="C30" s="3" t="inlineStr">
        <is>
          <t>CSSLP, GCLD, GSEC</t>
        </is>
      </c>
      <c r="D30" s="3" t="inlineStr">
        <is>
          <t>FITSP-D, GCSA, GISF, SSCP</t>
        </is>
      </c>
    </row>
    <row r="31">
      <c r="A31" s="3" t="inlineStr">
        <is>
          <t>(641) Systems Requirements Planner</t>
        </is>
      </c>
      <c r="B31" s="3" t="inlineStr">
        <is>
          <t>CND</t>
        </is>
      </c>
      <c r="C31" s="3" t="inlineStr">
        <is>
          <t>CCSP, CFR, FITSP-M, GSEC, SSCP, Security+</t>
        </is>
      </c>
      <c r="D31" s="3" t="inlineStr">
        <is>
          <t>GCSA, GSLC, SecurityX / CASP+</t>
        </is>
      </c>
    </row>
    <row r="32">
      <c r="A32" s="3" t="inlineStr">
        <is>
          <t>(651) Enterprise Architect</t>
        </is>
      </c>
      <c r="B32" s="3" t="inlineStr">
        <is>
          <t>CND</t>
        </is>
      </c>
      <c r="C32" s="3" t="inlineStr">
        <is>
          <t>CCSP, CSSLP, Cloud+, FITSP-D, GDSA, GSEC, SecurityX / CASP+</t>
        </is>
      </c>
      <c r="D32" s="3" t="inlineStr">
        <is>
          <t>CISSO, CISSP-ISSAP, CISSP-ISSEP, GCIA, GCLD, GCSA, GICSP</t>
        </is>
      </c>
    </row>
    <row r="33">
      <c r="A33" s="3" t="inlineStr">
        <is>
          <t>(652) Security Architect</t>
        </is>
      </c>
      <c r="B33" s="3" t="inlineStr">
        <is>
          <t>GCLD, GISF</t>
        </is>
      </c>
      <c r="C33" s="3" t="inlineStr">
        <is>
          <t>CCSP, CISSO, CSSLP, Cloud+, FITSP-D, GCSA, GMON, GSEC, SecurityX / CASP+</t>
        </is>
      </c>
      <c r="D33" s="3" t="inlineStr">
        <is>
          <t>CCNP Enterprise, CISM, CISSP-ISSAP, CISSP-ISSEP, GCIA, GDSA, GICSP</t>
        </is>
      </c>
    </row>
    <row r="34">
      <c r="A34" s="3" t="inlineStr">
        <is>
          <t>(661) Research &amp; Development Specialist</t>
        </is>
      </c>
      <c r="B34" s="3" t="n"/>
      <c r="C34" s="3" t="inlineStr">
        <is>
          <t>Security+</t>
        </is>
      </c>
      <c r="D34" s="3" t="inlineStr">
        <is>
          <t>CEH, GCLD, RCCE Level 1, SecurityX / CASP+</t>
        </is>
      </c>
    </row>
    <row r="35">
      <c r="A35" s="3" t="inlineStr">
        <is>
          <t>(671) System Testing and Evaluation Specialist</t>
        </is>
      </c>
      <c r="B35" s="3" t="inlineStr">
        <is>
          <t>CND, Network+</t>
        </is>
      </c>
      <c r="C35" s="3" t="inlineStr">
        <is>
          <t>CEH, CFR, Cloud+, GSEC, PenTest+, SSCP, Security+</t>
        </is>
      </c>
      <c r="D35" s="3" t="inlineStr">
        <is>
          <t>CCSP</t>
        </is>
      </c>
    </row>
    <row r="36">
      <c r="A36" s="3" t="inlineStr">
        <is>
          <t>(711) Cyber Instructional Curriculum Developer</t>
        </is>
      </c>
      <c r="B36" s="3" t="n"/>
      <c r="C36" s="3" t="inlineStr">
        <is>
          <t>GSEC</t>
        </is>
      </c>
      <c r="D36" s="3" t="n"/>
    </row>
    <row r="37">
      <c r="A37" s="3" t="inlineStr">
        <is>
          <t>(712) Cyber Instructor</t>
        </is>
      </c>
      <c r="B37" s="3" t="n"/>
      <c r="C37" s="3" t="n"/>
      <c r="D37" s="3" t="inlineStr">
        <is>
          <t>CISSO</t>
        </is>
      </c>
    </row>
    <row r="38">
      <c r="A38" s="3" t="inlineStr">
        <is>
          <t>(722) Information Systems Security Manager</t>
        </is>
      </c>
      <c r="B38" s="3" t="inlineStr">
        <is>
          <t>CC</t>
        </is>
      </c>
      <c r="C38" s="3" t="inlineStr">
        <is>
          <t>CCISO, CCSP, CGRC/CAP, CISSO, Cloud+, GCSA, GMON, GSEC, SSCP, Security+, SecurityX / CASP+</t>
        </is>
      </c>
      <c r="D38" s="3" t="inlineStr">
        <is>
          <t>CISM, CISSP, CISSP-ISSMP, FITSP-M, GCIA, GCIH, GICSP, GSLC</t>
        </is>
      </c>
    </row>
    <row r="39">
      <c r="A39" s="3" t="inlineStr">
        <is>
          <t>(723) COMSEC Manager</t>
        </is>
      </c>
      <c r="B39" s="3" t="n"/>
      <c r="C39" s="3" t="inlineStr">
        <is>
          <t>GSEC</t>
        </is>
      </c>
      <c r="D39" s="3" t="inlineStr">
        <is>
          <t>CISM, CISSO, FITSP-M, GCIH, GCSA, GICSP, GSLC</t>
        </is>
      </c>
    </row>
    <row r="40">
      <c r="A40" s="3" t="inlineStr">
        <is>
          <t>(732) Privacy Compliance Manager</t>
        </is>
      </c>
      <c r="B40" s="3" t="n"/>
      <c r="C40" s="3" t="n"/>
      <c r="D40" s="3" t="inlineStr">
        <is>
          <t>CISSO, GSLC</t>
        </is>
      </c>
    </row>
    <row r="41">
      <c r="A41" s="3" t="inlineStr">
        <is>
          <t>(751) Cyber Workforce Developer and Manager</t>
        </is>
      </c>
      <c r="B41" s="3" t="n"/>
      <c r="C41" s="3" t="inlineStr">
        <is>
          <t>Security+</t>
        </is>
      </c>
      <c r="D41" s="3" t="inlineStr">
        <is>
          <t>CCISO, CCSP, CFR, CISM, CISSP, GSLC, SecurityX / CASP+</t>
        </is>
      </c>
    </row>
    <row r="42">
      <c r="A42" s="3" t="inlineStr">
        <is>
          <t>(752) Cyber Policy and Strategy Planner</t>
        </is>
      </c>
      <c r="B42" s="3" t="n"/>
      <c r="C42" s="3" t="inlineStr">
        <is>
          <t>Security+</t>
        </is>
      </c>
      <c r="D42" s="3" t="inlineStr">
        <is>
          <t>CCISO, CCSP, CISM, CISSO, CISSP, GSLC, SecurityX / CASP+</t>
        </is>
      </c>
    </row>
    <row r="43">
      <c r="A43" s="3" t="inlineStr">
        <is>
          <t>(801) Program Manager</t>
        </is>
      </c>
      <c r="B43" s="3" t="n"/>
      <c r="C43" s="3" t="inlineStr">
        <is>
          <t>CGRC/CAP, DAWIA PM Practioner, SecurityX / CASP+</t>
        </is>
      </c>
      <c r="D43" s="3" t="inlineStr">
        <is>
          <t>CCISO, CISM, CISSO, CISSP, DAWIA PM Advanced, GFACT, GSLC, RCCE Level 1</t>
        </is>
      </c>
    </row>
    <row r="44">
      <c r="A44" s="3" t="inlineStr">
        <is>
          <t>(802) IT Project Manager</t>
        </is>
      </c>
      <c r="B44" s="3" t="n"/>
      <c r="C44" s="3" t="inlineStr">
        <is>
          <t>DAWIA PM Practioner, GSEC, Security+, SecurityX / CASP+</t>
        </is>
      </c>
      <c r="D44" s="3" t="inlineStr">
        <is>
          <t>CCISO, CCSP, CISA, CISM, CISSP, CISSP-ISSEP, CISSP-ISSMP, DAWIA PM Advanced, FITSP-A, FITSP-M, GFACT, GSLC, RCCE Level 1</t>
        </is>
      </c>
    </row>
    <row r="45">
      <c r="A45" s="3" t="inlineStr">
        <is>
          <t>(803) Product Support Manager</t>
        </is>
      </c>
      <c r="B45" s="3" t="n"/>
      <c r="C45" s="3" t="inlineStr">
        <is>
          <t>DAWIA LCL Foundational</t>
        </is>
      </c>
      <c r="D45" s="3" t="inlineStr">
        <is>
          <t>CCISO, DAWIA LCL Advanced, GCSA, GFACT, GISF, GSLC, RCCE Level 1</t>
        </is>
      </c>
    </row>
    <row r="46">
      <c r="A46" s="3" t="inlineStr">
        <is>
          <t>(804) IT Investment/Portfolio Manager</t>
        </is>
      </c>
      <c r="B46" s="3" t="n"/>
      <c r="C46" s="3" t="n"/>
      <c r="D46" s="3" t="inlineStr">
        <is>
          <t>CCISO, CISM, CISSO, CISSP, FITSP-A, FITSP-M, GCSA, GFACT, GSLC</t>
        </is>
      </c>
    </row>
    <row r="47">
      <c r="A47" s="3" t="inlineStr">
        <is>
          <t>(805) IT Program Auditor</t>
        </is>
      </c>
      <c r="B47" s="3" t="n"/>
      <c r="C47" s="3" t="inlineStr">
        <is>
          <t>CGRC/CAP, GSEC, GSNA, SSCP, Security+, SecurityX / CASP+</t>
        </is>
      </c>
      <c r="D47" s="3" t="inlineStr">
        <is>
          <t>CCISO, CCSP, CISA, CISM, CISSP, FITSP-A, FITSP-M, GCSA, GISF, GSLC, RCCE Level 1</t>
        </is>
      </c>
    </row>
    <row r="49">
      <c r="A49" s="4" t="inlineStr">
        <is>
          <t>Note: The following work roles exist in DoD 8140 V2.1 but have no published cert options (pending DoD review): (462) Control Systems Security Specialist, (731) Cyber Legal Advisor, (901) Executive Cyber Leader.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47" customWidth="1" min="62" max="62"/>
  </cols>
  <sheetData>
    <row r="1" ht="19" customHeight="1">
      <c r="A1" s="5" t="inlineStr">
        <is>
          <t>DoD 8140.03 Foundational Qualification: Personal Certification</t>
        </is>
      </c>
    </row>
    <row r="2" ht="19" customHeight="1">
      <c r="B2" s="6" t="inlineStr">
        <is>
          <t>CompTIA</t>
        </is>
      </c>
      <c r="I2" s="7" t="inlineStr">
        <is>
          <t>EC-Council</t>
        </is>
      </c>
      <c r="O2" s="8" t="inlineStr">
        <is>
          <t>FITSI</t>
        </is>
      </c>
      <c r="S2" s="9" t="inlineStr">
        <is>
          <t>GIAC (SANS)</t>
        </is>
      </c>
      <c r="AL2" s="10" t="inlineStr">
        <is>
          <t>ISACA</t>
        </is>
      </c>
      <c r="AN2" s="11" t="inlineStr">
        <is>
          <t>(ISC)2</t>
        </is>
      </c>
      <c r="AW2" s="12" t="inlineStr">
        <is>
          <t>CertNexus</t>
        </is>
      </c>
      <c r="AY2" s="13" t="inlineStr">
        <is>
          <t>CISCO</t>
        </is>
      </c>
      <c r="BC2" s="14" t="inlineStr">
        <is>
          <t>Rocheston</t>
        </is>
      </c>
      <c r="BD2" s="15" t="inlineStr">
        <is>
          <t>mile2</t>
        </is>
      </c>
      <c r="BF2" s="16" t="inlineStr">
        <is>
          <t>DAWIA</t>
        </is>
      </c>
    </row>
    <row r="3" ht="60" customHeight="1">
      <c r="A3" s="17" t="inlineStr">
        <is>
          <t>Work Role</t>
        </is>
      </c>
      <c r="B3" s="18" t="inlineStr">
        <is>
          <t>A+</t>
        </is>
      </c>
      <c r="C3" s="18" t="inlineStr">
        <is>
          <t>Net+</t>
        </is>
      </c>
      <c r="D3" s="18" t="inlineStr">
        <is>
          <t>Sec+</t>
        </is>
      </c>
      <c r="E3" s="18" t="inlineStr">
        <is>
          <t>Cloud+</t>
        </is>
      </c>
      <c r="F3" s="18" t="inlineStr">
        <is>
          <t>PenTest</t>
        </is>
      </c>
      <c r="G3" s="18" t="inlineStr">
        <is>
          <t>CySA+</t>
        </is>
      </c>
      <c r="H3" s="18" t="inlineStr">
        <is>
          <t>CASP+</t>
        </is>
      </c>
      <c r="I3" s="19" t="inlineStr">
        <is>
          <t>CND</t>
        </is>
      </c>
      <c r="J3" s="19" t="inlineStr">
        <is>
          <t>CEH</t>
        </is>
      </c>
      <c r="K3" s="19" t="inlineStr">
        <is>
          <t>CEH(P)</t>
        </is>
      </c>
      <c r="L3" s="19" t="inlineStr">
        <is>
          <t>CHFI</t>
        </is>
      </c>
      <c r="M3" s="19" t="inlineStr">
        <is>
          <t>ECIH</t>
        </is>
      </c>
      <c r="N3" s="19" t="inlineStr">
        <is>
          <t>CCISO</t>
        </is>
      </c>
      <c r="O3" s="20" t="inlineStr">
        <is>
          <t>FITSP-O</t>
        </is>
      </c>
      <c r="P3" s="20" t="inlineStr">
        <is>
          <t>FITSP-D</t>
        </is>
      </c>
      <c r="Q3" s="20" t="inlineStr">
        <is>
          <t>FITSP-A</t>
        </is>
      </c>
      <c r="R3" s="20" t="inlineStr">
        <is>
          <t>FITSP-M</t>
        </is>
      </c>
      <c r="S3" s="21" t="inlineStr">
        <is>
          <t>GISF</t>
        </is>
      </c>
      <c r="T3" s="21" t="inlineStr">
        <is>
          <t>GFACT</t>
        </is>
      </c>
      <c r="U3" s="21" t="inlineStr">
        <is>
          <t>GICSP</t>
        </is>
      </c>
      <c r="V3" s="21" t="inlineStr">
        <is>
          <t>GSEC</t>
        </is>
      </c>
      <c r="W3" s="21" t="inlineStr">
        <is>
          <t>GCLD</t>
        </is>
      </c>
      <c r="X3" s="21" t="inlineStr">
        <is>
          <t>GCIA</t>
        </is>
      </c>
      <c r="Y3" s="21" t="inlineStr">
        <is>
          <t>GCIH</t>
        </is>
      </c>
      <c r="Z3" s="21" t="inlineStr">
        <is>
          <t>GCSA</t>
        </is>
      </c>
      <c r="AA3" s="21" t="inlineStr">
        <is>
          <t>GPEN</t>
        </is>
      </c>
      <c r="AB3" s="21" t="inlineStr">
        <is>
          <t>GCED</t>
        </is>
      </c>
      <c r="AC3" s="21" t="inlineStr">
        <is>
          <t>GCFE</t>
        </is>
      </c>
      <c r="AD3" s="21" t="inlineStr">
        <is>
          <t>GSLC</t>
        </is>
      </c>
      <c r="AE3" s="21" t="inlineStr">
        <is>
          <t>GSNA</t>
        </is>
      </c>
      <c r="AF3" s="21" t="inlineStr">
        <is>
          <t>GCFA</t>
        </is>
      </c>
      <c r="AG3" s="21" t="inlineStr">
        <is>
          <t>GCTI</t>
        </is>
      </c>
      <c r="AH3" s="21" t="inlineStr">
        <is>
          <t>GDSA</t>
        </is>
      </c>
      <c r="AI3" s="21" t="inlineStr">
        <is>
          <t>GREM</t>
        </is>
      </c>
      <c r="AJ3" s="21" t="inlineStr">
        <is>
          <t>GMON</t>
        </is>
      </c>
      <c r="AK3" s="21" t="inlineStr">
        <is>
          <t>GRID</t>
        </is>
      </c>
      <c r="AL3" s="22" t="inlineStr">
        <is>
          <t>CISA</t>
        </is>
      </c>
      <c r="AM3" s="22" t="inlineStr">
        <is>
          <t>CISM</t>
        </is>
      </c>
      <c r="AN3" s="23" t="inlineStr">
        <is>
          <t>CC</t>
        </is>
      </c>
      <c r="AO3" s="23" t="inlineStr">
        <is>
          <t>SSCP</t>
        </is>
      </c>
      <c r="AP3" s="23" t="inlineStr">
        <is>
          <t>CCSP</t>
        </is>
      </c>
      <c r="AQ3" s="23" t="inlineStr">
        <is>
          <t>CSSLP</t>
        </is>
      </c>
      <c r="AR3" s="23" t="inlineStr">
        <is>
          <t>CGRC</t>
        </is>
      </c>
      <c r="AS3" s="23" t="inlineStr">
        <is>
          <t>CISSP</t>
        </is>
      </c>
      <c r="AT3" s="23" t="inlineStr">
        <is>
          <t>ISSAP</t>
        </is>
      </c>
      <c r="AU3" s="23" t="inlineStr">
        <is>
          <t>ISSEP</t>
        </is>
      </c>
      <c r="AV3" s="23" t="inlineStr">
        <is>
          <t>ISSMP</t>
        </is>
      </c>
      <c r="AW3" s="24" t="inlineStr">
        <is>
          <t>CFR</t>
        </is>
      </c>
      <c r="AX3" s="24" t="inlineStr">
        <is>
          <t>CSC</t>
        </is>
      </c>
      <c r="AY3" s="25" t="inlineStr">
        <is>
          <t>CCNA</t>
        </is>
      </c>
      <c r="AZ3" s="25" t="inlineStr">
        <is>
          <t>CBROPS</t>
        </is>
      </c>
      <c r="BA3" s="25" t="inlineStr">
        <is>
          <t>CCNP-S</t>
        </is>
      </c>
      <c r="BB3" s="25" t="inlineStr">
        <is>
          <t>CCNP-E</t>
        </is>
      </c>
      <c r="BC3" s="26" t="inlineStr">
        <is>
          <t>RCCE-1</t>
        </is>
      </c>
      <c r="BD3" s="27" t="inlineStr">
        <is>
          <t>CISSO</t>
        </is>
      </c>
      <c r="BE3" s="27" t="inlineStr">
        <is>
          <t>CPTE</t>
        </is>
      </c>
      <c r="BF3" s="28" t="inlineStr">
        <is>
          <t>DAWIA-LCL-F</t>
        </is>
      </c>
      <c r="BG3" s="28" t="inlineStr">
        <is>
          <t>DAWIA-LCL-A</t>
        </is>
      </c>
      <c r="BH3" s="28" t="inlineStr">
        <is>
          <t>DAWIA-PM-P</t>
        </is>
      </c>
      <c r="BI3" s="28" t="inlineStr">
        <is>
          <t>DAWIA-PM-A</t>
        </is>
      </c>
      <c r="BJ3" s="17" t="inlineStr">
        <is>
          <t>Work Role</t>
        </is>
      </c>
    </row>
    <row r="4" ht="16" customHeight="1">
      <c r="A4" s="3" t="inlineStr">
        <is>
          <t>(411) Technical Support Specialist</t>
        </is>
      </c>
      <c r="B4" s="29" t="n">
        <v>1</v>
      </c>
      <c r="C4" s="29" t="n">
        <v>1</v>
      </c>
      <c r="D4" s="30" t="n">
        <v>2</v>
      </c>
      <c r="H4" s="31" t="n">
        <v>3</v>
      </c>
      <c r="I4" s="32" t="n">
        <v>2</v>
      </c>
      <c r="O4" s="33" t="n">
        <v>3</v>
      </c>
      <c r="T4" s="34" t="n">
        <v>2</v>
      </c>
      <c r="U4" s="35" t="n">
        <v>3</v>
      </c>
      <c r="V4" s="34" t="n">
        <v>2</v>
      </c>
      <c r="AL4" s="36" t="n">
        <v>3</v>
      </c>
      <c r="AO4" s="37" t="n">
        <v>3</v>
      </c>
      <c r="BA4" s="38" t="n">
        <v>3</v>
      </c>
      <c r="BJ4" s="3" t="inlineStr">
        <is>
          <t>(411) Technical Support Specialist</t>
        </is>
      </c>
    </row>
    <row r="5" ht="16" customHeight="1">
      <c r="A5" s="3" t="inlineStr">
        <is>
          <t>(421) Database Administrator</t>
        </is>
      </c>
      <c r="D5" s="30" t="n">
        <v>2</v>
      </c>
      <c r="E5" s="30" t="n">
        <v>2</v>
      </c>
      <c r="H5" s="31" t="n">
        <v>3</v>
      </c>
      <c r="V5" s="34" t="n">
        <v>2</v>
      </c>
      <c r="AL5" s="36" t="n">
        <v>3</v>
      </c>
      <c r="AO5" s="39" t="n">
        <v>2</v>
      </c>
      <c r="AS5" s="37" t="n">
        <v>3</v>
      </c>
      <c r="AT5" s="37" t="n">
        <v>3</v>
      </c>
      <c r="AU5" s="37" t="n">
        <v>3</v>
      </c>
      <c r="BA5" s="38" t="n">
        <v>3</v>
      </c>
      <c r="BJ5" s="3" t="inlineStr">
        <is>
          <t>(421) Database Administrator</t>
        </is>
      </c>
    </row>
    <row r="6" ht="16" customHeight="1">
      <c r="A6" s="3" t="inlineStr">
        <is>
          <t>(431) Knowledge Manager</t>
        </is>
      </c>
      <c r="D6" s="30" t="n">
        <v>2</v>
      </c>
      <c r="AO6" s="39" t="n">
        <v>2</v>
      </c>
      <c r="BJ6" s="3" t="inlineStr">
        <is>
          <t>(431) Knowledge Manager</t>
        </is>
      </c>
    </row>
    <row r="7" ht="16" customHeight="1">
      <c r="A7" s="3" t="inlineStr">
        <is>
          <t>(441) Network Operations Specialist</t>
        </is>
      </c>
      <c r="C7" s="29" t="n">
        <v>1</v>
      </c>
      <c r="D7" s="30" t="n">
        <v>2</v>
      </c>
      <c r="E7" s="30" t="n">
        <v>2</v>
      </c>
      <c r="H7" s="31" t="n">
        <v>3</v>
      </c>
      <c r="I7" s="40" t="n">
        <v>1</v>
      </c>
      <c r="J7" s="32" t="n">
        <v>2</v>
      </c>
      <c r="T7" s="35" t="n">
        <v>3</v>
      </c>
      <c r="U7" s="34" t="n">
        <v>2</v>
      </c>
      <c r="V7" s="34" t="n">
        <v>2</v>
      </c>
      <c r="W7" s="35" t="n">
        <v>3</v>
      </c>
      <c r="X7" s="35" t="n">
        <v>3</v>
      </c>
      <c r="Y7" s="34" t="n">
        <v>2</v>
      </c>
      <c r="AB7" s="35" t="n">
        <v>3</v>
      </c>
      <c r="AH7" s="35" t="n">
        <v>3</v>
      </c>
      <c r="AO7" s="39" t="n">
        <v>2</v>
      </c>
      <c r="AP7" s="37" t="n">
        <v>3</v>
      </c>
      <c r="AY7" s="38" t="n">
        <v>3</v>
      </c>
      <c r="BA7" s="38" t="n">
        <v>3</v>
      </c>
      <c r="BJ7" s="3" t="inlineStr">
        <is>
          <t>(441) Network Operations Specialist</t>
        </is>
      </c>
    </row>
    <row r="8" ht="16" customHeight="1">
      <c r="A8" s="41" t="inlineStr">
        <is>
          <t>(451) System Admin (req'd for admin access)</t>
        </is>
      </c>
      <c r="B8" s="29" t="n">
        <v>1</v>
      </c>
      <c r="C8" s="29" t="n">
        <v>1</v>
      </c>
      <c r="D8" s="30" t="n">
        <v>2</v>
      </c>
      <c r="E8" s="30" t="n">
        <v>2</v>
      </c>
      <c r="H8" s="31" t="n">
        <v>3</v>
      </c>
      <c r="I8" s="40" t="n">
        <v>1</v>
      </c>
      <c r="O8" s="33" t="n">
        <v>3</v>
      </c>
      <c r="T8" s="35" t="n">
        <v>3</v>
      </c>
      <c r="U8" s="34" t="n">
        <v>2</v>
      </c>
      <c r="V8" s="34" t="n">
        <v>2</v>
      </c>
      <c r="AO8" s="39" t="n">
        <v>2</v>
      </c>
      <c r="AP8" s="37" t="n">
        <v>3</v>
      </c>
      <c r="BA8" s="38" t="n">
        <v>3</v>
      </c>
      <c r="BJ8" s="41" t="inlineStr">
        <is>
          <t>(451) System Admin (req'd for admin access)</t>
        </is>
      </c>
    </row>
    <row r="9" ht="16" customHeight="1">
      <c r="A9" s="3" t="inlineStr">
        <is>
          <t>(632) Systems Developer</t>
        </is>
      </c>
      <c r="I9" s="40" t="n">
        <v>1</v>
      </c>
      <c r="P9" s="33" t="n">
        <v>3</v>
      </c>
      <c r="S9" s="35" t="n">
        <v>3</v>
      </c>
      <c r="V9" s="34" t="n">
        <v>2</v>
      </c>
      <c r="W9" s="34" t="n">
        <v>2</v>
      </c>
      <c r="Z9" s="35" t="n">
        <v>3</v>
      </c>
      <c r="AO9" s="37" t="n">
        <v>3</v>
      </c>
      <c r="AQ9" s="39" t="n">
        <v>2</v>
      </c>
      <c r="BJ9" s="3" t="inlineStr">
        <is>
          <t>(632) Systems Developer</t>
        </is>
      </c>
    </row>
    <row r="10" ht="16" customHeight="1">
      <c r="A10" s="3" t="inlineStr">
        <is>
          <t>(641) Systems Requirements Planner</t>
        </is>
      </c>
      <c r="D10" s="30" t="n">
        <v>2</v>
      </c>
      <c r="H10" s="31" t="n">
        <v>3</v>
      </c>
      <c r="I10" s="40" t="n">
        <v>1</v>
      </c>
      <c r="R10" s="42" t="n">
        <v>2</v>
      </c>
      <c r="V10" s="34" t="n">
        <v>2</v>
      </c>
      <c r="Z10" s="35" t="n">
        <v>3</v>
      </c>
      <c r="AD10" s="35" t="n">
        <v>3</v>
      </c>
      <c r="AO10" s="39" t="n">
        <v>2</v>
      </c>
      <c r="AP10" s="39" t="n">
        <v>2</v>
      </c>
      <c r="AW10" s="43" t="n">
        <v>2</v>
      </c>
      <c r="BJ10" s="3" t="inlineStr">
        <is>
          <t>(641) Systems Requirements Planner</t>
        </is>
      </c>
    </row>
    <row r="11" ht="16" customHeight="1">
      <c r="A11" s="3" t="inlineStr">
        <is>
          <t>(651) Enterprise Architect</t>
        </is>
      </c>
      <c r="E11" s="30" t="n">
        <v>2</v>
      </c>
      <c r="H11" s="30" t="n">
        <v>2</v>
      </c>
      <c r="I11" s="40" t="n">
        <v>1</v>
      </c>
      <c r="P11" s="42" t="n">
        <v>2</v>
      </c>
      <c r="U11" s="35" t="n">
        <v>3</v>
      </c>
      <c r="V11" s="34" t="n">
        <v>2</v>
      </c>
      <c r="W11" s="35" t="n">
        <v>3</v>
      </c>
      <c r="X11" s="35" t="n">
        <v>3</v>
      </c>
      <c r="Z11" s="35" t="n">
        <v>3</v>
      </c>
      <c r="AH11" s="34" t="n">
        <v>2</v>
      </c>
      <c r="AP11" s="39" t="n">
        <v>2</v>
      </c>
      <c r="AQ11" s="39" t="n">
        <v>2</v>
      </c>
      <c r="AT11" s="37" t="n">
        <v>3</v>
      </c>
      <c r="AU11" s="37" t="n">
        <v>3</v>
      </c>
      <c r="BD11" s="44" t="n">
        <v>3</v>
      </c>
      <c r="BJ11" s="3" t="inlineStr">
        <is>
          <t>(651) Enterprise Architect</t>
        </is>
      </c>
    </row>
    <row r="12" ht="16" customHeight="1">
      <c r="A12" s="3" t="inlineStr">
        <is>
          <t>(661) Research &amp; Development Specialist</t>
        </is>
      </c>
      <c r="D12" s="30" t="n">
        <v>2</v>
      </c>
      <c r="H12" s="31" t="n">
        <v>3</v>
      </c>
      <c r="J12" s="45" t="n">
        <v>3</v>
      </c>
      <c r="W12" s="35" t="n">
        <v>3</v>
      </c>
      <c r="BC12" s="46" t="n">
        <v>3</v>
      </c>
      <c r="BJ12" s="3" t="inlineStr">
        <is>
          <t>(661) Research &amp; Development Specialist</t>
        </is>
      </c>
    </row>
    <row r="13" ht="16" customHeight="1">
      <c r="A13" s="3" t="inlineStr">
        <is>
          <t>(671) System Testing and Evaluation Specialist</t>
        </is>
      </c>
      <c r="C13" s="29" t="n">
        <v>1</v>
      </c>
      <c r="D13" s="30" t="n">
        <v>2</v>
      </c>
      <c r="E13" s="30" t="n">
        <v>2</v>
      </c>
      <c r="F13" s="30" t="n">
        <v>2</v>
      </c>
      <c r="I13" s="40" t="n">
        <v>1</v>
      </c>
      <c r="J13" s="32" t="n">
        <v>2</v>
      </c>
      <c r="V13" s="34" t="n">
        <v>2</v>
      </c>
      <c r="AO13" s="39" t="n">
        <v>2</v>
      </c>
      <c r="AP13" s="37" t="n">
        <v>3</v>
      </c>
      <c r="AW13" s="43" t="n">
        <v>2</v>
      </c>
      <c r="BJ13" s="3" t="inlineStr">
        <is>
          <t>(671) System Testing and Evaluation Specialist</t>
        </is>
      </c>
    </row>
    <row r="14" ht="16" customHeight="1">
      <c r="A14" s="3" t="inlineStr">
        <is>
          <t>(212) Cyber Defense Forensics Analyst</t>
        </is>
      </c>
      <c r="F14" s="31" t="n">
        <v>3</v>
      </c>
      <c r="G14" s="31" t="n">
        <v>3</v>
      </c>
      <c r="L14" s="32" t="n">
        <v>2</v>
      </c>
      <c r="AC14" s="35" t="n">
        <v>3</v>
      </c>
      <c r="AF14" s="35" t="n">
        <v>3</v>
      </c>
      <c r="AI14" s="35" t="n">
        <v>3</v>
      </c>
      <c r="AW14" s="47" t="n">
        <v>3</v>
      </c>
      <c r="BC14" s="48" t="n">
        <v>2</v>
      </c>
      <c r="BJ14" s="3" t="inlineStr">
        <is>
          <t>(212) Cyber Defense Forensics Analyst</t>
        </is>
      </c>
    </row>
    <row r="15" ht="16" customHeight="1">
      <c r="A15" s="3" t="inlineStr">
        <is>
          <t>(511) Cyber Defense Analyst</t>
        </is>
      </c>
      <c r="D15" s="30" t="n">
        <v>2</v>
      </c>
      <c r="E15" s="30" t="n">
        <v>2</v>
      </c>
      <c r="F15" s="30" t="n">
        <v>2</v>
      </c>
      <c r="G15" s="31" t="n">
        <v>3</v>
      </c>
      <c r="J15" s="40" t="n">
        <v>1</v>
      </c>
      <c r="K15" s="32" t="n">
        <v>2</v>
      </c>
      <c r="O15" s="42" t="n">
        <v>2</v>
      </c>
      <c r="S15" s="49" t="n">
        <v>1</v>
      </c>
      <c r="T15" s="49" t="n">
        <v>1</v>
      </c>
      <c r="U15" s="35" t="n">
        <v>3</v>
      </c>
      <c r="V15" s="34" t="n">
        <v>2</v>
      </c>
      <c r="X15" s="35" t="n">
        <v>3</v>
      </c>
      <c r="AB15" s="34" t="n">
        <v>2</v>
      </c>
      <c r="AF15" s="35" t="n">
        <v>3</v>
      </c>
      <c r="AH15" s="34" t="n">
        <v>2</v>
      </c>
      <c r="AJ15" s="34" t="n">
        <v>2</v>
      </c>
      <c r="AK15" s="34" t="n">
        <v>2</v>
      </c>
      <c r="AN15" s="50" t="n">
        <v>1</v>
      </c>
      <c r="AW15" s="47" t="n">
        <v>3</v>
      </c>
      <c r="AZ15" s="38" t="n">
        <v>3</v>
      </c>
      <c r="BJ15" s="3" t="inlineStr">
        <is>
          <t>(511) Cyber Defense Analyst</t>
        </is>
      </c>
    </row>
    <row r="16" ht="16" customHeight="1">
      <c r="A16" s="3" t="inlineStr">
        <is>
          <t>(521) Cyber Defense Infrastructure Support Specialist</t>
        </is>
      </c>
      <c r="B16" s="29" t="n">
        <v>1</v>
      </c>
      <c r="C16" s="29" t="n">
        <v>1</v>
      </c>
      <c r="D16" s="30" t="n">
        <v>2</v>
      </c>
      <c r="E16" s="30" t="n">
        <v>2</v>
      </c>
      <c r="F16" s="30" t="n">
        <v>2</v>
      </c>
      <c r="G16" s="30" t="n">
        <v>2</v>
      </c>
      <c r="I16" s="40" t="n">
        <v>1</v>
      </c>
      <c r="J16" s="32" t="n">
        <v>2</v>
      </c>
      <c r="T16" s="49" t="n">
        <v>1</v>
      </c>
      <c r="U16" s="35" t="n">
        <v>3</v>
      </c>
      <c r="V16" s="34" t="n">
        <v>2</v>
      </c>
      <c r="W16" s="49" t="n">
        <v>1</v>
      </c>
      <c r="X16" s="35" t="n">
        <v>3</v>
      </c>
      <c r="AH16" s="49" t="n">
        <v>1</v>
      </c>
      <c r="AJ16" s="34" t="n">
        <v>2</v>
      </c>
      <c r="AK16" s="34" t="n">
        <v>2</v>
      </c>
      <c r="AN16" s="50" t="n">
        <v>1</v>
      </c>
      <c r="AO16" s="39" t="n">
        <v>2</v>
      </c>
      <c r="AT16" s="37" t="n">
        <v>3</v>
      </c>
      <c r="AU16" s="37" t="n">
        <v>3</v>
      </c>
      <c r="BJ16" s="3" t="inlineStr">
        <is>
          <t>(521) Cyber Defense Infrastructure Support Specialist</t>
        </is>
      </c>
    </row>
    <row r="17" ht="16" customHeight="1">
      <c r="A17" s="3" t="inlineStr">
        <is>
          <t>(531) Cyber Defense Incident Responder</t>
        </is>
      </c>
      <c r="D17" s="30" t="n">
        <v>2</v>
      </c>
      <c r="E17" s="30" t="n">
        <v>2</v>
      </c>
      <c r="F17" s="30" t="n">
        <v>2</v>
      </c>
      <c r="G17" s="31" t="n">
        <v>3</v>
      </c>
      <c r="J17" s="32" t="n">
        <v>2</v>
      </c>
      <c r="K17" s="32" t="n">
        <v>2</v>
      </c>
      <c r="M17" s="32" t="n">
        <v>2</v>
      </c>
      <c r="O17" s="42" t="n">
        <v>2</v>
      </c>
      <c r="S17" s="49" t="n">
        <v>1</v>
      </c>
      <c r="U17" s="35" t="n">
        <v>3</v>
      </c>
      <c r="V17" s="34" t="n">
        <v>2</v>
      </c>
      <c r="X17" s="35" t="n">
        <v>3</v>
      </c>
      <c r="Y17" s="34" t="n">
        <v>2</v>
      </c>
      <c r="AB17" s="34" t="n">
        <v>2</v>
      </c>
      <c r="AF17" s="35" t="n">
        <v>3</v>
      </c>
      <c r="AH17" s="49" t="n">
        <v>1</v>
      </c>
      <c r="AK17" s="34" t="n">
        <v>2</v>
      </c>
      <c r="AN17" s="50" t="n">
        <v>1</v>
      </c>
      <c r="AP17" s="39" t="n">
        <v>2</v>
      </c>
      <c r="AW17" s="47" t="n">
        <v>3</v>
      </c>
      <c r="AZ17" s="51" t="n">
        <v>2</v>
      </c>
      <c r="BC17" s="48" t="n">
        <v>2</v>
      </c>
      <c r="BJ17" s="3" t="inlineStr">
        <is>
          <t>(531) Cyber Defense Incident Responder</t>
        </is>
      </c>
    </row>
    <row r="18" ht="16" customHeight="1">
      <c r="A18" s="3" t="inlineStr">
        <is>
          <t>(541) Vulnerability Assessment Analyst</t>
        </is>
      </c>
      <c r="D18" s="30" t="n">
        <v>2</v>
      </c>
      <c r="E18" s="30" t="n">
        <v>2</v>
      </c>
      <c r="F18" s="30" t="n">
        <v>2</v>
      </c>
      <c r="G18" s="31" t="n">
        <v>3</v>
      </c>
      <c r="J18" s="40" t="n">
        <v>1</v>
      </c>
      <c r="K18" s="32" t="n">
        <v>2</v>
      </c>
      <c r="Q18" s="42" t="n">
        <v>2</v>
      </c>
      <c r="U18" s="34" t="n">
        <v>2</v>
      </c>
      <c r="V18" s="34" t="n">
        <v>2</v>
      </c>
      <c r="Y18" s="34" t="n">
        <v>2</v>
      </c>
      <c r="Z18" s="34" t="n">
        <v>2</v>
      </c>
      <c r="AA18" s="35" t="n">
        <v>3</v>
      </c>
      <c r="AB18" s="34" t="n">
        <v>2</v>
      </c>
      <c r="AE18" s="35" t="n">
        <v>3</v>
      </c>
      <c r="AL18" s="36" t="n">
        <v>3</v>
      </c>
      <c r="AM18" s="36" t="n">
        <v>3</v>
      </c>
      <c r="AW18" s="47" t="n">
        <v>3</v>
      </c>
      <c r="BC18" s="48" t="n">
        <v>2</v>
      </c>
      <c r="BE18" s="52" t="n">
        <v>2</v>
      </c>
      <c r="BJ18" s="3" t="inlineStr">
        <is>
          <t>(541) Vulnerability Assessment Analyst</t>
        </is>
      </c>
    </row>
    <row r="19" ht="16" customHeight="1">
      <c r="A19" s="3" t="inlineStr">
        <is>
          <t>(611) Authorizing Official/Designated Representative</t>
        </is>
      </c>
      <c r="E19" s="30" t="n">
        <v>2</v>
      </c>
      <c r="N19" s="45" t="n">
        <v>3</v>
      </c>
      <c r="R19" s="33" t="n">
        <v>3</v>
      </c>
      <c r="V19" s="34" t="n">
        <v>2</v>
      </c>
      <c r="Z19" s="35" t="n">
        <v>3</v>
      </c>
      <c r="AD19" s="35" t="n">
        <v>3</v>
      </c>
      <c r="AM19" s="36" t="n">
        <v>3</v>
      </c>
      <c r="AP19" s="39" t="n">
        <v>2</v>
      </c>
      <c r="AR19" s="39" t="n">
        <v>2</v>
      </c>
      <c r="AS19" s="37" t="n">
        <v>3</v>
      </c>
      <c r="AU19" s="37" t="n">
        <v>3</v>
      </c>
      <c r="AV19" s="37" t="n">
        <v>3</v>
      </c>
      <c r="BJ19" s="3" t="inlineStr">
        <is>
          <t>(611) Authorizing Official/Designated Representative</t>
        </is>
      </c>
    </row>
    <row r="20" ht="16" customHeight="1">
      <c r="A20" s="3" t="inlineStr">
        <is>
          <t>(612) Security Control Assessor</t>
        </is>
      </c>
      <c r="D20" s="30" t="n">
        <v>2</v>
      </c>
      <c r="E20" s="30" t="n">
        <v>2</v>
      </c>
      <c r="F20" s="30" t="n">
        <v>2</v>
      </c>
      <c r="G20" s="31" t="n">
        <v>3</v>
      </c>
      <c r="H20" s="30" t="n">
        <v>2</v>
      </c>
      <c r="N20" s="45" t="n">
        <v>3</v>
      </c>
      <c r="Q20" s="42" t="n">
        <v>2</v>
      </c>
      <c r="V20" s="34" t="n">
        <v>2</v>
      </c>
      <c r="Z20" s="34" t="n">
        <v>2</v>
      </c>
      <c r="AD20" s="35" t="n">
        <v>3</v>
      </c>
      <c r="AE20" s="35" t="n">
        <v>3</v>
      </c>
      <c r="AL20" s="36" t="n">
        <v>3</v>
      </c>
      <c r="AM20" s="36" t="n">
        <v>3</v>
      </c>
      <c r="AR20" s="39" t="n">
        <v>2</v>
      </c>
      <c r="AS20" s="37" t="n">
        <v>3</v>
      </c>
      <c r="AU20" s="37" t="n">
        <v>3</v>
      </c>
      <c r="BD20" s="52" t="n">
        <v>2</v>
      </c>
      <c r="BJ20" s="3" t="inlineStr">
        <is>
          <t>(612) Security Control Assessor</t>
        </is>
      </c>
    </row>
    <row r="21" ht="16" customHeight="1">
      <c r="A21" s="3" t="inlineStr">
        <is>
          <t>(622) Secure Software Assessor</t>
        </is>
      </c>
      <c r="D21" s="30" t="n">
        <v>2</v>
      </c>
      <c r="V21" s="34" t="n">
        <v>2</v>
      </c>
      <c r="W21" s="49" t="n">
        <v>1</v>
      </c>
      <c r="Z21" s="34" t="n">
        <v>2</v>
      </c>
      <c r="AQ21" s="39" t="n">
        <v>2</v>
      </c>
      <c r="AU21" s="37" t="n">
        <v>3</v>
      </c>
      <c r="AX21" s="43" t="n">
        <v>2</v>
      </c>
      <c r="BJ21" s="3" t="inlineStr">
        <is>
          <t>(622) Secure Software Assessor</t>
        </is>
      </c>
    </row>
    <row r="22" ht="16" customHeight="1">
      <c r="A22" s="3" t="inlineStr">
        <is>
          <t>(631) Information Systems Security Developer</t>
        </is>
      </c>
      <c r="E22" s="30" t="n">
        <v>2</v>
      </c>
      <c r="H22" s="30" t="n">
        <v>2</v>
      </c>
      <c r="I22" s="40" t="n">
        <v>1</v>
      </c>
      <c r="P22" s="33" t="n">
        <v>3</v>
      </c>
      <c r="S22" s="49" t="n">
        <v>1</v>
      </c>
      <c r="V22" s="34" t="n">
        <v>2</v>
      </c>
      <c r="W22" s="34" t="n">
        <v>2</v>
      </c>
      <c r="Z22" s="34" t="n">
        <v>2</v>
      </c>
      <c r="AN22" s="50" t="n">
        <v>1</v>
      </c>
      <c r="AO22" s="50" t="n">
        <v>1</v>
      </c>
      <c r="AP22" s="39" t="n">
        <v>2</v>
      </c>
      <c r="AU22" s="37" t="n">
        <v>3</v>
      </c>
      <c r="AX22" s="43" t="n">
        <v>2</v>
      </c>
      <c r="BJ22" s="3" t="inlineStr">
        <is>
          <t>(631) Information Systems Security Developer</t>
        </is>
      </c>
    </row>
    <row r="23" ht="16" customHeight="1">
      <c r="A23" s="3" t="inlineStr">
        <is>
          <t>(652) Security Architect</t>
        </is>
      </c>
      <c r="E23" s="30" t="n">
        <v>2</v>
      </c>
      <c r="H23" s="30" t="n">
        <v>2</v>
      </c>
      <c r="P23" s="42" t="n">
        <v>2</v>
      </c>
      <c r="S23" s="49" t="n">
        <v>1</v>
      </c>
      <c r="U23" s="35" t="n">
        <v>3</v>
      </c>
      <c r="V23" s="34" t="n">
        <v>2</v>
      </c>
      <c r="W23" s="49" t="n">
        <v>1</v>
      </c>
      <c r="X23" s="35" t="n">
        <v>3</v>
      </c>
      <c r="Z23" s="34" t="n">
        <v>2</v>
      </c>
      <c r="AH23" s="35" t="n">
        <v>3</v>
      </c>
      <c r="AJ23" s="34" t="n">
        <v>2</v>
      </c>
      <c r="AM23" s="36" t="n">
        <v>3</v>
      </c>
      <c r="AP23" s="39" t="n">
        <v>2</v>
      </c>
      <c r="AQ23" s="39" t="n">
        <v>2</v>
      </c>
      <c r="AT23" s="37" t="n">
        <v>3</v>
      </c>
      <c r="AU23" s="37" t="n">
        <v>3</v>
      </c>
      <c r="BB23" s="38" t="n">
        <v>3</v>
      </c>
      <c r="BD23" s="52" t="n">
        <v>2</v>
      </c>
      <c r="BJ23" s="3" t="inlineStr">
        <is>
          <t>(652) Security Architect</t>
        </is>
      </c>
    </row>
    <row r="24" ht="16" customHeight="1">
      <c r="A24" s="3" t="inlineStr">
        <is>
          <t>(722) Information Systems Security Manager</t>
        </is>
      </c>
      <c r="D24" s="30" t="n">
        <v>2</v>
      </c>
      <c r="E24" s="30" t="n">
        <v>2</v>
      </c>
      <c r="H24" s="30" t="n">
        <v>2</v>
      </c>
      <c r="N24" s="32" t="n">
        <v>2</v>
      </c>
      <c r="R24" s="33" t="n">
        <v>3</v>
      </c>
      <c r="U24" s="35" t="n">
        <v>3</v>
      </c>
      <c r="V24" s="34" t="n">
        <v>2</v>
      </c>
      <c r="X24" s="35" t="n">
        <v>3</v>
      </c>
      <c r="Y24" s="35" t="n">
        <v>3</v>
      </c>
      <c r="Z24" s="34" t="n">
        <v>2</v>
      </c>
      <c r="AD24" s="35" t="n">
        <v>3</v>
      </c>
      <c r="AJ24" s="34" t="n">
        <v>2</v>
      </c>
      <c r="AM24" s="36" t="n">
        <v>3</v>
      </c>
      <c r="AN24" s="50" t="n">
        <v>1</v>
      </c>
      <c r="AO24" s="39" t="n">
        <v>2</v>
      </c>
      <c r="AP24" s="39" t="n">
        <v>2</v>
      </c>
      <c r="AR24" s="39" t="n">
        <v>2</v>
      </c>
      <c r="AS24" s="37" t="n">
        <v>3</v>
      </c>
      <c r="AV24" s="37" t="n">
        <v>3</v>
      </c>
      <c r="BD24" s="52" t="n">
        <v>2</v>
      </c>
      <c r="BJ24" s="3" t="inlineStr">
        <is>
          <t>(722) Information Systems Security Manager</t>
        </is>
      </c>
    </row>
    <row r="25" ht="16" customHeight="1">
      <c r="A25" s="3" t="inlineStr">
        <is>
          <t>(723) COMSEC Manager</t>
        </is>
      </c>
      <c r="R25" s="33" t="n">
        <v>3</v>
      </c>
      <c r="U25" s="35" t="n">
        <v>3</v>
      </c>
      <c r="V25" s="34" t="n">
        <v>2</v>
      </c>
      <c r="Y25" s="35" t="n">
        <v>3</v>
      </c>
      <c r="Z25" s="35" t="n">
        <v>3</v>
      </c>
      <c r="AD25" s="35" t="n">
        <v>3</v>
      </c>
      <c r="AM25" s="36" t="n">
        <v>3</v>
      </c>
      <c r="BD25" s="44" t="n">
        <v>3</v>
      </c>
      <c r="BJ25" s="3" t="inlineStr">
        <is>
          <t>(723) COMSEC Manager</t>
        </is>
      </c>
    </row>
    <row r="26" ht="16" customHeight="1">
      <c r="A26" s="3" t="inlineStr">
        <is>
          <t>(461) Systems Security Analyst</t>
        </is>
      </c>
      <c r="D26" s="30" t="n">
        <v>2</v>
      </c>
      <c r="E26" s="30" t="n">
        <v>2</v>
      </c>
      <c r="G26" s="31" t="n">
        <v>3</v>
      </c>
      <c r="I26" s="40" t="n">
        <v>1</v>
      </c>
      <c r="O26" s="33" t="n">
        <v>3</v>
      </c>
      <c r="S26" s="34" t="n">
        <v>2</v>
      </c>
      <c r="U26" s="34" t="n">
        <v>2</v>
      </c>
      <c r="V26" s="34" t="n">
        <v>2</v>
      </c>
      <c r="W26" s="35" t="n">
        <v>3</v>
      </c>
      <c r="Z26" s="35" t="n">
        <v>3</v>
      </c>
      <c r="AE26" s="35" t="n">
        <v>3</v>
      </c>
      <c r="AO26" s="50" t="n">
        <v>1</v>
      </c>
      <c r="AP26" s="39" t="n">
        <v>2</v>
      </c>
      <c r="AU26" s="37" t="n">
        <v>3</v>
      </c>
      <c r="BC26" s="46" t="n">
        <v>3</v>
      </c>
      <c r="BD26" s="44" t="n">
        <v>3</v>
      </c>
      <c r="BJ26" s="3" t="inlineStr">
        <is>
          <t>(461) Systems Security Analyst</t>
        </is>
      </c>
    </row>
    <row r="27" ht="16" customHeight="1">
      <c r="A27" s="3" t="inlineStr">
        <is>
          <t>(621) Software Developer</t>
        </is>
      </c>
      <c r="V27" s="34" t="n">
        <v>2</v>
      </c>
      <c r="AQ27" s="39" t="n">
        <v>2</v>
      </c>
      <c r="AT27" s="37" t="n">
        <v>3</v>
      </c>
      <c r="BJ27" s="3" t="inlineStr">
        <is>
          <t>(621) Software Developer</t>
        </is>
      </c>
    </row>
    <row r="28" ht="16" customHeight="1">
      <c r="A28" s="3" t="inlineStr">
        <is>
          <t>(422) Data Analyst</t>
        </is>
      </c>
      <c r="N28" s="45" t="n">
        <v>3</v>
      </c>
      <c r="V28" s="34" t="n">
        <v>2</v>
      </c>
      <c r="AD28" s="35" t="n">
        <v>3</v>
      </c>
      <c r="AM28" s="36" t="n">
        <v>3</v>
      </c>
      <c r="AO28" s="39" t="n">
        <v>2</v>
      </c>
      <c r="AS28" s="37" t="n">
        <v>3</v>
      </c>
      <c r="BJ28" s="3" t="inlineStr">
        <is>
          <t>(422) Data Analyst</t>
        </is>
      </c>
    </row>
    <row r="29" ht="22" customHeight="1">
      <c r="A29" s="53" t="inlineStr">
        <is>
          <t>CY 101 (40-hour online course) satisfies DoD 8140 foundational qualification requirements for all Cyber Enabler work roles below (validate with DoD under V2.1)</t>
        </is>
      </c>
    </row>
    <row r="30" ht="16" customHeight="1">
      <c r="A30" s="3" t="inlineStr">
        <is>
          <t>(211) Forensics Analyst</t>
        </is>
      </c>
      <c r="F30" s="30" t="n">
        <v>2</v>
      </c>
      <c r="G30" s="31" t="n">
        <v>3</v>
      </c>
      <c r="L30" s="32" t="n">
        <v>2</v>
      </c>
      <c r="AC30" s="35" t="n">
        <v>3</v>
      </c>
      <c r="AF30" s="35" t="n">
        <v>3</v>
      </c>
      <c r="AW30" s="47" t="n">
        <v>3</v>
      </c>
      <c r="BC30" s="46" t="n">
        <v>3</v>
      </c>
      <c r="BJ30" s="3" t="inlineStr">
        <is>
          <t>(211) Forensics Analyst</t>
        </is>
      </c>
    </row>
    <row r="31" ht="16" customHeight="1">
      <c r="A31" s="3" t="inlineStr">
        <is>
          <t>(221) Cyber Crime Investigator</t>
        </is>
      </c>
      <c r="F31" s="30" t="n">
        <v>2</v>
      </c>
      <c r="G31" s="31" t="n">
        <v>3</v>
      </c>
      <c r="H31" s="31" t="n">
        <v>3</v>
      </c>
      <c r="L31" s="32" t="n">
        <v>2</v>
      </c>
      <c r="Y31" s="49" t="n">
        <v>1</v>
      </c>
      <c r="AC31" s="35" t="n">
        <v>3</v>
      </c>
      <c r="AF31" s="35" t="n">
        <v>3</v>
      </c>
      <c r="AW31" s="47" t="n">
        <v>3</v>
      </c>
      <c r="BJ31" s="3" t="inlineStr">
        <is>
          <t>(221) Cyber Crime Investigator</t>
        </is>
      </c>
    </row>
    <row r="32" ht="16" customHeight="1">
      <c r="A32" s="3" t="inlineStr">
        <is>
          <t>(711) Cyber Instructional Curriculum Developer</t>
        </is>
      </c>
      <c r="V32" s="34" t="n">
        <v>2</v>
      </c>
      <c r="BJ32" s="3" t="inlineStr">
        <is>
          <t>(711) Cyber Instructional Curriculum Developer</t>
        </is>
      </c>
    </row>
    <row r="33" ht="16" customHeight="1">
      <c r="A33" s="3" t="inlineStr">
        <is>
          <t>(712) Cyber Instructor</t>
        </is>
      </c>
      <c r="BD33" s="44" t="n">
        <v>3</v>
      </c>
      <c r="BJ33" s="3" t="inlineStr">
        <is>
          <t>(712) Cyber Instructor</t>
        </is>
      </c>
    </row>
    <row r="34" ht="16" customHeight="1">
      <c r="A34" s="3" t="inlineStr">
        <is>
          <t>(732) Privacy Compliance Manager</t>
        </is>
      </c>
      <c r="AD34" s="35" t="n">
        <v>3</v>
      </c>
      <c r="BD34" s="44" t="n">
        <v>3</v>
      </c>
      <c r="BJ34" s="3" t="inlineStr">
        <is>
          <t>(732) Privacy Compliance Manager</t>
        </is>
      </c>
    </row>
    <row r="35" ht="16" customHeight="1">
      <c r="A35" s="3" t="inlineStr">
        <is>
          <t>(751) Cyber Workforce Developer and Manager</t>
        </is>
      </c>
      <c r="D35" s="30" t="n">
        <v>2</v>
      </c>
      <c r="H35" s="31" t="n">
        <v>3</v>
      </c>
      <c r="N35" s="45" t="n">
        <v>3</v>
      </c>
      <c r="AD35" s="35" t="n">
        <v>3</v>
      </c>
      <c r="AM35" s="36" t="n">
        <v>3</v>
      </c>
      <c r="AP35" s="37" t="n">
        <v>3</v>
      </c>
      <c r="AS35" s="37" t="n">
        <v>3</v>
      </c>
      <c r="AW35" s="47" t="n">
        <v>3</v>
      </c>
      <c r="BJ35" s="3" t="inlineStr">
        <is>
          <t>(751) Cyber Workforce Developer and Manager</t>
        </is>
      </c>
    </row>
    <row r="36" ht="16" customHeight="1">
      <c r="A36" s="3" t="inlineStr">
        <is>
          <t>(752) Cyber Policy and Strategy Planner</t>
        </is>
      </c>
      <c r="D36" s="30" t="n">
        <v>2</v>
      </c>
      <c r="H36" s="31" t="n">
        <v>3</v>
      </c>
      <c r="N36" s="45" t="n">
        <v>3</v>
      </c>
      <c r="AD36" s="35" t="n">
        <v>3</v>
      </c>
      <c r="AM36" s="36" t="n">
        <v>3</v>
      </c>
      <c r="AP36" s="37" t="n">
        <v>3</v>
      </c>
      <c r="AS36" s="37" t="n">
        <v>3</v>
      </c>
      <c r="BD36" s="44" t="n">
        <v>3</v>
      </c>
      <c r="BJ36" s="3" t="inlineStr">
        <is>
          <t>(752) Cyber Policy and Strategy Planner</t>
        </is>
      </c>
    </row>
    <row r="37" ht="16" customHeight="1">
      <c r="A37" s="3" t="inlineStr">
        <is>
          <t>(801) Program Manager</t>
        </is>
      </c>
      <c r="H37" s="30" t="n">
        <v>2</v>
      </c>
      <c r="N37" s="45" t="n">
        <v>3</v>
      </c>
      <c r="T37" s="35" t="n">
        <v>3</v>
      </c>
      <c r="AD37" s="35" t="n">
        <v>3</v>
      </c>
      <c r="AM37" s="36" t="n">
        <v>3</v>
      </c>
      <c r="AR37" s="39" t="n">
        <v>2</v>
      </c>
      <c r="AS37" s="37" t="n">
        <v>3</v>
      </c>
      <c r="BC37" s="46" t="n">
        <v>3</v>
      </c>
      <c r="BD37" s="44" t="n">
        <v>3</v>
      </c>
      <c r="BH37" s="54" t="n">
        <v>2</v>
      </c>
      <c r="BI37" s="55" t="n">
        <v>3</v>
      </c>
      <c r="BJ37" s="3" t="inlineStr">
        <is>
          <t>(801) Program Manager</t>
        </is>
      </c>
    </row>
    <row r="38" ht="16" customHeight="1">
      <c r="A38" s="3" t="inlineStr">
        <is>
          <t>(802) IT Project Manager</t>
        </is>
      </c>
      <c r="D38" s="30" t="n">
        <v>2</v>
      </c>
      <c r="H38" s="30" t="n">
        <v>2</v>
      </c>
      <c r="N38" s="45" t="n">
        <v>3</v>
      </c>
      <c r="Q38" s="33" t="n">
        <v>3</v>
      </c>
      <c r="R38" s="33" t="n">
        <v>3</v>
      </c>
      <c r="T38" s="35" t="n">
        <v>3</v>
      </c>
      <c r="V38" s="34" t="n">
        <v>2</v>
      </c>
      <c r="AD38" s="35" t="n">
        <v>3</v>
      </c>
      <c r="AL38" s="36" t="n">
        <v>3</v>
      </c>
      <c r="AM38" s="36" t="n">
        <v>3</v>
      </c>
      <c r="AP38" s="37" t="n">
        <v>3</v>
      </c>
      <c r="AS38" s="37" t="n">
        <v>3</v>
      </c>
      <c r="AU38" s="37" t="n">
        <v>3</v>
      </c>
      <c r="AV38" s="37" t="n">
        <v>3</v>
      </c>
      <c r="BC38" s="46" t="n">
        <v>3</v>
      </c>
      <c r="BH38" s="54" t="n">
        <v>2</v>
      </c>
      <c r="BI38" s="55" t="n">
        <v>3</v>
      </c>
      <c r="BJ38" s="3" t="inlineStr">
        <is>
          <t>(802) IT Project Manager</t>
        </is>
      </c>
    </row>
    <row r="39" ht="16" customHeight="1">
      <c r="A39" s="3" t="inlineStr">
        <is>
          <t>(803) Product Support Manager</t>
        </is>
      </c>
      <c r="N39" s="45" t="n">
        <v>3</v>
      </c>
      <c r="S39" s="35" t="n">
        <v>3</v>
      </c>
      <c r="T39" s="35" t="n">
        <v>3</v>
      </c>
      <c r="Z39" s="35" t="n">
        <v>3</v>
      </c>
      <c r="AD39" s="35" t="n">
        <v>3</v>
      </c>
      <c r="BC39" s="46" t="n">
        <v>3</v>
      </c>
      <c r="BF39" s="54" t="n">
        <v>2</v>
      </c>
      <c r="BG39" s="55" t="n">
        <v>3</v>
      </c>
      <c r="BJ39" s="3" t="inlineStr">
        <is>
          <t>(803) Product Support Manager</t>
        </is>
      </c>
    </row>
    <row r="40" ht="16" customHeight="1">
      <c r="A40" s="3" t="inlineStr">
        <is>
          <t>(804) IT Investment/Portfolio Manager</t>
        </is>
      </c>
      <c r="N40" s="45" t="n">
        <v>3</v>
      </c>
      <c r="Q40" s="33" t="n">
        <v>3</v>
      </c>
      <c r="R40" s="33" t="n">
        <v>3</v>
      </c>
      <c r="T40" s="35" t="n">
        <v>3</v>
      </c>
      <c r="Z40" s="35" t="n">
        <v>3</v>
      </c>
      <c r="AD40" s="35" t="n">
        <v>3</v>
      </c>
      <c r="AM40" s="36" t="n">
        <v>3</v>
      </c>
      <c r="AS40" s="37" t="n">
        <v>3</v>
      </c>
      <c r="BD40" s="44" t="n">
        <v>3</v>
      </c>
      <c r="BJ40" s="3" t="inlineStr">
        <is>
          <t>(804) IT Investment/Portfolio Manager</t>
        </is>
      </c>
    </row>
    <row r="41" ht="16" customHeight="1">
      <c r="A41" s="3" t="inlineStr">
        <is>
          <t>(805) IT Program Auditor</t>
        </is>
      </c>
      <c r="D41" s="30" t="n">
        <v>2</v>
      </c>
      <c r="H41" s="30" t="n">
        <v>2</v>
      </c>
      <c r="N41" s="45" t="n">
        <v>3</v>
      </c>
      <c r="Q41" s="33" t="n">
        <v>3</v>
      </c>
      <c r="R41" s="33" t="n">
        <v>3</v>
      </c>
      <c r="S41" s="35" t="n">
        <v>3</v>
      </c>
      <c r="V41" s="34" t="n">
        <v>2</v>
      </c>
      <c r="Z41" s="35" t="n">
        <v>3</v>
      </c>
      <c r="AD41" s="35" t="n">
        <v>3</v>
      </c>
      <c r="AE41" s="34" t="n">
        <v>2</v>
      </c>
      <c r="AL41" s="36" t="n">
        <v>3</v>
      </c>
      <c r="AM41" s="36" t="n">
        <v>3</v>
      </c>
      <c r="AO41" s="39" t="n">
        <v>2</v>
      </c>
      <c r="AP41" s="37" t="n">
        <v>3</v>
      </c>
      <c r="AR41" s="39" t="n">
        <v>2</v>
      </c>
      <c r="AS41" s="37" t="n">
        <v>3</v>
      </c>
      <c r="BC41" s="46" t="n">
        <v>3</v>
      </c>
      <c r="BJ41" s="3" t="inlineStr">
        <is>
          <t>(805) IT Program Auditor</t>
        </is>
      </c>
    </row>
    <row r="42" ht="16" customHeight="1">
      <c r="A42" s="3" t="inlineStr">
        <is>
          <t>(111) All-Source Analyst</t>
        </is>
      </c>
      <c r="G42" s="31" t="n">
        <v>3</v>
      </c>
      <c r="AG42" s="35" t="n">
        <v>3</v>
      </c>
      <c r="BC42" s="46" t="n">
        <v>3</v>
      </c>
      <c r="BJ42" s="3" t="inlineStr">
        <is>
          <t>(111) All-Source Analyst</t>
        </is>
      </c>
    </row>
    <row r="43" ht="16" customHeight="1">
      <c r="A43" s="3" t="inlineStr">
        <is>
          <t>(121) Exploitation Analyst</t>
        </is>
      </c>
      <c r="F43" s="31" t="n">
        <v>3</v>
      </c>
      <c r="Y43" s="35" t="n">
        <v>3</v>
      </c>
      <c r="AA43" s="35" t="n">
        <v>3</v>
      </c>
      <c r="BJ43" s="3" t="inlineStr">
        <is>
          <t>(121) Exploitation Analyst</t>
        </is>
      </c>
    </row>
    <row r="44" ht="16" customHeight="1">
      <c r="A44" s="3" t="inlineStr">
        <is>
          <t>(131) Joint Targeting Analyst</t>
        </is>
      </c>
      <c r="AA44" s="35" t="n">
        <v>3</v>
      </c>
      <c r="BJ44" s="3" t="inlineStr">
        <is>
          <t>(131) Joint Targeting Analyst</t>
        </is>
      </c>
    </row>
    <row r="45" ht="16" customHeight="1">
      <c r="A45" s="3" t="inlineStr">
        <is>
          <t>(132) Target Digital Network Analyst</t>
        </is>
      </c>
      <c r="Y45" s="35" t="n">
        <v>3</v>
      </c>
      <c r="AA45" s="35" t="n">
        <v>3</v>
      </c>
      <c r="BJ45" s="3" t="inlineStr">
        <is>
          <t>(132) Target Digital Network Analyst</t>
        </is>
      </c>
    </row>
    <row r="46" ht="16" customHeight="1">
      <c r="A46" s="3" t="inlineStr">
        <is>
          <t>(311) All-Source Collection Manager</t>
        </is>
      </c>
      <c r="AF46" s="35" t="n">
        <v>3</v>
      </c>
      <c r="AG46" s="35" t="n">
        <v>3</v>
      </c>
      <c r="BJ46" s="3" t="inlineStr">
        <is>
          <t>(311) All-Source Collection Manager</t>
        </is>
      </c>
    </row>
    <row r="47" ht="16" customHeight="1">
      <c r="A47" s="3" t="inlineStr">
        <is>
          <t>(312) All-Source Collection Requirements Manager</t>
        </is>
      </c>
      <c r="AF47" s="35" t="n">
        <v>3</v>
      </c>
      <c r="AG47" s="35" t="n">
        <v>3</v>
      </c>
      <c r="BJ47" s="3" t="inlineStr">
        <is>
          <t>(312) All-Source Collection Requirements Manager</t>
        </is>
      </c>
    </row>
    <row r="48" ht="16" customHeight="1">
      <c r="A48" s="3" t="inlineStr">
        <is>
          <t>(331) Cyber Intelligence Planner</t>
        </is>
      </c>
      <c r="AG48" s="35" t="n">
        <v>3</v>
      </c>
      <c r="BJ48" s="3" t="inlineStr">
        <is>
          <t>(331) Cyber Intelligence Planner</t>
        </is>
      </c>
    </row>
    <row r="49" ht="16" customHeight="1">
      <c r="A49" s="3" t="inlineStr">
        <is>
          <t>(332) Cyber Operations Planner</t>
        </is>
      </c>
      <c r="Y49" s="35" t="n">
        <v>3</v>
      </c>
      <c r="AA49" s="35" t="n">
        <v>3</v>
      </c>
      <c r="BC49" s="46" t="n">
        <v>3</v>
      </c>
      <c r="BJ49" s="3" t="inlineStr">
        <is>
          <t>(332) Cyber Operations Planner</t>
        </is>
      </c>
    </row>
    <row r="51">
      <c r="A51" s="4" t="inlineStr">
        <is>
          <t>Proficiency levels: Basic = 1, Intermediate = 2, Advanced = 3</t>
        </is>
      </c>
    </row>
    <row r="53">
      <c r="A53" s="56" t="inlineStr">
        <is>
          <t>Total Positions Covered</t>
        </is>
      </c>
      <c r="B53" s="57">
        <f>COUNT(B4:B49)</f>
        <v/>
      </c>
      <c r="C53" s="57">
        <f>COUNT(C4:C49)</f>
        <v/>
      </c>
      <c r="D53" s="57">
        <f>COUNT(D4:D49)</f>
        <v/>
      </c>
      <c r="E53" s="57">
        <f>COUNT(E4:E49)</f>
        <v/>
      </c>
      <c r="F53" s="57">
        <f>COUNT(F4:F49)</f>
        <v/>
      </c>
      <c r="G53" s="57">
        <f>COUNT(G4:G49)</f>
        <v/>
      </c>
      <c r="H53" s="57">
        <f>COUNT(H4:H49)</f>
        <v/>
      </c>
      <c r="I53" s="58">
        <f>COUNT(I4:I49)</f>
        <v/>
      </c>
      <c r="J53" s="58">
        <f>COUNT(J4:J49)</f>
        <v/>
      </c>
      <c r="K53" s="58">
        <f>COUNT(K4:K49)</f>
        <v/>
      </c>
      <c r="L53" s="58">
        <f>COUNT(L4:L49)</f>
        <v/>
      </c>
      <c r="M53" s="58">
        <f>COUNT(M4:M49)</f>
        <v/>
      </c>
      <c r="N53" s="58">
        <f>COUNT(N4:N49)</f>
        <v/>
      </c>
      <c r="O53" s="59">
        <f>COUNT(O4:O49)</f>
        <v/>
      </c>
      <c r="P53" s="59">
        <f>COUNT(P4:P49)</f>
        <v/>
      </c>
      <c r="Q53" s="59">
        <f>COUNT(Q4:Q49)</f>
        <v/>
      </c>
      <c r="R53" s="59">
        <f>COUNT(R4:R49)</f>
        <v/>
      </c>
      <c r="S53" s="60">
        <f>COUNT(S4:S49)</f>
        <v/>
      </c>
      <c r="T53" s="60">
        <f>COUNT(T4:T49)</f>
        <v/>
      </c>
      <c r="U53" s="60">
        <f>COUNT(U4:U49)</f>
        <v/>
      </c>
      <c r="V53" s="60">
        <f>COUNT(V4:V49)</f>
        <v/>
      </c>
      <c r="W53" s="60">
        <f>COUNT(W4:W49)</f>
        <v/>
      </c>
      <c r="X53" s="60">
        <f>COUNT(X4:X49)</f>
        <v/>
      </c>
      <c r="Y53" s="60">
        <f>COUNT(Y4:Y49)</f>
        <v/>
      </c>
      <c r="Z53" s="60">
        <f>COUNT(Z4:Z49)</f>
        <v/>
      </c>
      <c r="AA53" s="60">
        <f>COUNT(AA4:AA49)</f>
        <v/>
      </c>
      <c r="AB53" s="60">
        <f>COUNT(AB4:AB49)</f>
        <v/>
      </c>
      <c r="AC53" s="60">
        <f>COUNT(AC4:AC49)</f>
        <v/>
      </c>
      <c r="AD53" s="60">
        <f>COUNT(AD4:AD49)</f>
        <v/>
      </c>
      <c r="AE53" s="60">
        <f>COUNT(AE4:AE49)</f>
        <v/>
      </c>
      <c r="AF53" s="60">
        <f>COUNT(AF4:AF49)</f>
        <v/>
      </c>
      <c r="AG53" s="60">
        <f>COUNT(AG4:AG49)</f>
        <v/>
      </c>
      <c r="AH53" s="60">
        <f>COUNT(AH4:AH49)</f>
        <v/>
      </c>
      <c r="AI53" s="60">
        <f>COUNT(AI4:AI49)</f>
        <v/>
      </c>
      <c r="AJ53" s="60">
        <f>COUNT(AJ4:AJ49)</f>
        <v/>
      </c>
      <c r="AK53" s="60">
        <f>COUNT(AK4:AK49)</f>
        <v/>
      </c>
      <c r="AL53" s="61">
        <f>COUNT(AL4:AL49)</f>
        <v/>
      </c>
      <c r="AM53" s="61">
        <f>COUNT(AM4:AM49)</f>
        <v/>
      </c>
      <c r="AN53" s="62">
        <f>COUNT(AN4:AN49)</f>
        <v/>
      </c>
      <c r="AO53" s="62">
        <f>COUNT(AO4:AO49)</f>
        <v/>
      </c>
      <c r="AP53" s="62">
        <f>COUNT(AP4:AP49)</f>
        <v/>
      </c>
      <c r="AQ53" s="62">
        <f>COUNT(AQ4:AQ49)</f>
        <v/>
      </c>
      <c r="AR53" s="62">
        <f>COUNT(AR4:AR49)</f>
        <v/>
      </c>
      <c r="AS53" s="62">
        <f>COUNT(AS4:AS49)</f>
        <v/>
      </c>
      <c r="AT53" s="62">
        <f>COUNT(AT4:AT49)</f>
        <v/>
      </c>
      <c r="AU53" s="62">
        <f>COUNT(AU4:AU49)</f>
        <v/>
      </c>
      <c r="AV53" s="62">
        <f>COUNT(AV4:AV49)</f>
        <v/>
      </c>
      <c r="AW53" s="63">
        <f>COUNT(AW4:AW49)</f>
        <v/>
      </c>
      <c r="AX53" s="63">
        <f>COUNT(AX4:AX49)</f>
        <v/>
      </c>
      <c r="AY53" s="64">
        <f>COUNT(AY4:AY49)</f>
        <v/>
      </c>
      <c r="AZ53" s="64">
        <f>COUNT(AZ4:AZ49)</f>
        <v/>
      </c>
      <c r="BA53" s="64">
        <f>COUNT(BA4:BA49)</f>
        <v/>
      </c>
      <c r="BB53" s="64">
        <f>COUNT(BB4:BB49)</f>
        <v/>
      </c>
      <c r="BC53" s="65">
        <f>COUNT(BC4:BC49)</f>
        <v/>
      </c>
      <c r="BD53" s="66">
        <f>COUNT(BD4:BD49)</f>
        <v/>
      </c>
      <c r="BE53" s="66">
        <f>COUNT(BE4:BE49)</f>
        <v/>
      </c>
      <c r="BF53" s="61">
        <f>COUNT(BF4:BF49)</f>
        <v/>
      </c>
      <c r="BG53" s="61">
        <f>COUNT(BG4:BG49)</f>
        <v/>
      </c>
      <c r="BH53" s="61">
        <f>COUNT(BH4:BH49)</f>
        <v/>
      </c>
      <c r="BI53" s="61">
        <f>COUNT(BI4:BI49)</f>
        <v/>
      </c>
      <c r="BJ53" s="56" t="inlineStr">
        <is>
          <t>Total Positions Covered</t>
        </is>
      </c>
    </row>
    <row r="54">
      <c r="A54" s="56" t="inlineStr">
        <is>
          <t>Total "Points" (proficiency levels × positions)</t>
        </is>
      </c>
      <c r="B54" s="67">
        <f>SUM(B4:B49)</f>
        <v/>
      </c>
      <c r="C54" s="67">
        <f>SUM(C4:C49)</f>
        <v/>
      </c>
      <c r="D54" s="67">
        <f>SUM(D4:D49)</f>
        <v/>
      </c>
      <c r="E54" s="67">
        <f>SUM(E4:E49)</f>
        <v/>
      </c>
      <c r="F54" s="67">
        <f>SUM(F4:F49)</f>
        <v/>
      </c>
      <c r="G54" s="67">
        <f>SUM(G4:G49)</f>
        <v/>
      </c>
      <c r="H54" s="67">
        <f>SUM(H4:H49)</f>
        <v/>
      </c>
      <c r="I54" s="68">
        <f>SUM(I4:I49)</f>
        <v/>
      </c>
      <c r="J54" s="68">
        <f>SUM(J4:J49)</f>
        <v/>
      </c>
      <c r="K54" s="68">
        <f>SUM(K4:K49)</f>
        <v/>
      </c>
      <c r="L54" s="68">
        <f>SUM(L4:L49)</f>
        <v/>
      </c>
      <c r="M54" s="68">
        <f>SUM(M4:M49)</f>
        <v/>
      </c>
      <c r="N54" s="68">
        <f>SUM(N4:N49)</f>
        <v/>
      </c>
      <c r="O54" s="69">
        <f>SUM(O4:O49)</f>
        <v/>
      </c>
      <c r="P54" s="69">
        <f>SUM(P4:P49)</f>
        <v/>
      </c>
      <c r="Q54" s="69">
        <f>SUM(Q4:Q49)</f>
        <v/>
      </c>
      <c r="R54" s="69">
        <f>SUM(R4:R49)</f>
        <v/>
      </c>
      <c r="S54" s="70">
        <f>SUM(S4:S49)</f>
        <v/>
      </c>
      <c r="T54" s="70">
        <f>SUM(T4:T49)</f>
        <v/>
      </c>
      <c r="U54" s="70">
        <f>SUM(U4:U49)</f>
        <v/>
      </c>
      <c r="V54" s="70">
        <f>SUM(V4:V49)</f>
        <v/>
      </c>
      <c r="W54" s="70">
        <f>SUM(W4:W49)</f>
        <v/>
      </c>
      <c r="X54" s="70">
        <f>SUM(X4:X49)</f>
        <v/>
      </c>
      <c r="Y54" s="70">
        <f>SUM(Y4:Y49)</f>
        <v/>
      </c>
      <c r="Z54" s="70">
        <f>SUM(Z4:Z49)</f>
        <v/>
      </c>
      <c r="AA54" s="70">
        <f>SUM(AA4:AA49)</f>
        <v/>
      </c>
      <c r="AB54" s="70">
        <f>SUM(AB4:AB49)</f>
        <v/>
      </c>
      <c r="AC54" s="70">
        <f>SUM(AC4:AC49)</f>
        <v/>
      </c>
      <c r="AD54" s="70">
        <f>SUM(AD4:AD49)</f>
        <v/>
      </c>
      <c r="AE54" s="70">
        <f>SUM(AE4:AE49)</f>
        <v/>
      </c>
      <c r="AF54" s="70">
        <f>SUM(AF4:AF49)</f>
        <v/>
      </c>
      <c r="AG54" s="70">
        <f>SUM(AG4:AG49)</f>
        <v/>
      </c>
      <c r="AH54" s="70">
        <f>SUM(AH4:AH49)</f>
        <v/>
      </c>
      <c r="AI54" s="70">
        <f>SUM(AI4:AI49)</f>
        <v/>
      </c>
      <c r="AJ54" s="70">
        <f>SUM(AJ4:AJ49)</f>
        <v/>
      </c>
      <c r="AK54" s="70">
        <f>SUM(AK4:AK49)</f>
        <v/>
      </c>
      <c r="AL54" s="71">
        <f>SUM(AL4:AL49)</f>
        <v/>
      </c>
      <c r="AM54" s="71">
        <f>SUM(AM4:AM49)</f>
        <v/>
      </c>
      <c r="AN54" s="72">
        <f>SUM(AN4:AN49)</f>
        <v/>
      </c>
      <c r="AO54" s="72">
        <f>SUM(AO4:AO49)</f>
        <v/>
      </c>
      <c r="AP54" s="72">
        <f>SUM(AP4:AP49)</f>
        <v/>
      </c>
      <c r="AQ54" s="72">
        <f>SUM(AQ4:AQ49)</f>
        <v/>
      </c>
      <c r="AR54" s="72">
        <f>SUM(AR4:AR49)</f>
        <v/>
      </c>
      <c r="AS54" s="72">
        <f>SUM(AS4:AS49)</f>
        <v/>
      </c>
      <c r="AT54" s="72">
        <f>SUM(AT4:AT49)</f>
        <v/>
      </c>
      <c r="AU54" s="72">
        <f>SUM(AU4:AU49)</f>
        <v/>
      </c>
      <c r="AV54" s="72">
        <f>SUM(AV4:AV49)</f>
        <v/>
      </c>
      <c r="AW54" s="73">
        <f>SUM(AW4:AW49)</f>
        <v/>
      </c>
      <c r="AX54" s="73">
        <f>SUM(AX4:AX49)</f>
        <v/>
      </c>
      <c r="AY54" s="74">
        <f>SUM(AY4:AY49)</f>
        <v/>
      </c>
      <c r="AZ54" s="74">
        <f>SUM(AZ4:AZ49)</f>
        <v/>
      </c>
      <c r="BA54" s="74">
        <f>SUM(BA4:BA49)</f>
        <v/>
      </c>
      <c r="BB54" s="74">
        <f>SUM(BB4:BB49)</f>
        <v/>
      </c>
      <c r="BC54" s="75">
        <f>SUM(BC4:BC49)</f>
        <v/>
      </c>
      <c r="BD54" s="76">
        <f>SUM(BD4:BD49)</f>
        <v/>
      </c>
      <c r="BE54" s="76">
        <f>SUM(BE4:BE49)</f>
        <v/>
      </c>
      <c r="BF54" s="77">
        <f>SUM(BF4:BF49)</f>
        <v/>
      </c>
      <c r="BG54" s="77">
        <f>SUM(BG4:BG49)</f>
        <v/>
      </c>
      <c r="BH54" s="77">
        <f>SUM(BH4:BH49)</f>
        <v/>
      </c>
      <c r="BI54" s="77">
        <f>SUM(BI4:BI49)</f>
        <v/>
      </c>
      <c r="BJ54" s="56" t="inlineStr">
        <is>
          <t>Total "Points"</t>
        </is>
      </c>
    </row>
    <row r="57" ht="30" customHeight="1">
      <c r="A57" s="78" t="inlineStr">
        <is>
          <t>Note: The following work roles exist in DoD 8140 V2.1 but have no published certification options (pending DoD review): (462) Control Systems Security Specialist, (731) Cyber Legal Advisor, (901) Executive Cyber Leader.</t>
        </is>
      </c>
    </row>
  </sheetData>
  <mergeCells count="13">
    <mergeCell ref="BF2:BI2"/>
    <mergeCell ref="I2:N2"/>
    <mergeCell ref="BD2:BE2"/>
    <mergeCell ref="A29:BJ29"/>
    <mergeCell ref="AW2:AX2"/>
    <mergeCell ref="A1:BJ1"/>
    <mergeCell ref="AN2:AV2"/>
    <mergeCell ref="A57:BJ57"/>
    <mergeCell ref="B2:H2"/>
    <mergeCell ref="O2:R2"/>
    <mergeCell ref="AL2:AM2"/>
    <mergeCell ref="S2:AK2"/>
    <mergeCell ref="AY2:BB2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 Krueger</dc:creator>
  <dc:title xmlns:dc="http://purl.org/dc/elements/1.1/">DoD 8140.03 Cert Path Reference</dc:title>
  <dc:description xmlns:dc="http://purl.org/dc/elements/1.1/">DoD 8140.03 cybersecurity workforce qualification — certification-path reference. Compiled by Jeff Krueger. Unaffiliated with any firm or agency.</dc:description>
  <dcterms:created xmlns:dcterms="http://purl.org/dc/terms/" xmlns:xsi="http://www.w3.org/2001/XMLSchema-instance" xsi:type="dcterms:W3CDTF">2026-04-19T02:49:40Z</dcterms:created>
  <dcterms:modified xmlns:dcterms="http://purl.org/dc/terms/" xmlns:xsi="http://www.w3.org/2001/XMLSchema-instance" xsi:type="dcterms:W3CDTF">2026-04-19T02:49:40Z</dcterms:modified>
  <cp:lastModifiedBy>Jeff Krueger</cp:lastModifiedBy>
</cp:coreProperties>
</file>