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1"/>
    </font>
    <font>
      <b val="1"/>
      <color rgb="FFFFFFFF"/>
      <sz val="7"/>
    </font>
    <font>
      <b val="1"/>
      <color rgb="FFFFFFFF"/>
      <sz val="9"/>
    </font>
    <font>
      <b val="1"/>
      <color rgb="FFFFFFFF"/>
      <sz val="10"/>
    </font>
    <font>
      <b val="1"/>
      <color rgb="FF000000"/>
    </font>
    <font>
      <i val="1"/>
      <sz val="9"/>
    </font>
    <font>
      <b val="1"/>
    </font>
    <font>
      <i val="1"/>
      <color rgb="FF595959"/>
      <sz val="9"/>
    </font>
  </fonts>
  <fills count="18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8B2635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4B1E6B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5B2C6F"/>
      </patternFill>
    </fill>
    <fill>
      <patternFill patternType="solid">
        <fgColor rgb="FF7F6000"/>
      </patternFill>
    </fill>
    <fill>
      <patternFill patternType="solid">
        <fgColor rgb="FF6B6B6B"/>
      </patternFill>
    </fill>
    <fill>
      <patternFill patternType="solid">
        <fgColor rgb="FF5F5F5F"/>
      </patternFill>
    </fill>
    <fill>
      <patternFill patternType="solid">
        <fgColor rgb="FF535353"/>
      </patternFill>
    </fill>
    <fill>
      <patternFill patternType="solid">
        <fgColor rgb="FF474747"/>
      </patternFill>
    </fill>
    <fill>
      <patternFill patternType="solid">
        <fgColor rgb="FF3B3B3B"/>
      </patternFill>
    </fill>
    <fill>
      <patternFill patternType="solid">
        <fgColor rgb="FF2F2F2F"/>
      </patternFill>
    </fill>
    <fill>
      <patternFill patternType="solid">
        <fgColor rgb="FF232323"/>
      </patternFill>
    </fill>
    <fill>
      <patternFill patternType="solid">
        <fgColor rgb="FF6E202D"/>
      </patternFill>
    </fill>
    <fill>
      <patternFill patternType="solid">
        <fgColor rgb="FF3074A6"/>
      </patternFill>
    </fill>
    <fill>
      <patternFill patternType="solid">
        <fgColor rgb="FF29598F"/>
      </patternFill>
    </fill>
    <fill>
      <patternFill patternType="solid">
        <fgColor rgb="FF234179"/>
      </patternFill>
    </fill>
    <fill>
      <patternFill patternType="solid">
        <fgColor rgb="FF1C2D63"/>
      </patternFill>
    </fill>
    <fill>
      <patternFill patternType="solid">
        <fgColor rgb="FF161C4D"/>
      </patternFill>
    </fill>
    <fill>
      <patternFill patternType="solid">
        <fgColor rgb="FF101037"/>
      </patternFill>
    </fill>
    <fill>
      <patternFill patternType="solid">
        <fgColor rgb="FFB65E20"/>
      </patternFill>
    </fill>
    <fill>
      <patternFill patternType="solid">
        <fgColor rgb="FF8D5018"/>
      </patternFill>
    </fill>
    <fill>
      <patternFill patternType="solid">
        <fgColor rgb="FF653D11"/>
      </patternFill>
    </fill>
    <fill>
      <patternFill patternType="solid">
        <fgColor rgb="FF3C270A"/>
      </patternFill>
    </fill>
    <fill>
      <patternFill patternType="solid">
        <fgColor rgb="FFB62084"/>
      </patternFill>
    </fill>
    <fill>
      <patternFill patternType="solid">
        <fgColor rgb="FFAF1E87"/>
      </patternFill>
    </fill>
    <fill>
      <patternFill patternType="solid">
        <fgColor rgb="FFA81D89"/>
      </patternFill>
    </fill>
    <fill>
      <patternFill patternType="solid">
        <fgColor rgb="FFA11C8B"/>
      </patternFill>
    </fill>
    <fill>
      <patternFill patternType="solid">
        <fgColor rgb="FF9B1B8C"/>
      </patternFill>
    </fill>
    <fill>
      <patternFill patternType="solid">
        <fgColor rgb="FF941A8D"/>
      </patternFill>
    </fill>
    <fill>
      <patternFill patternType="solid">
        <fgColor rgb="FF8D188D"/>
      </patternFill>
    </fill>
    <fill>
      <patternFill patternType="solid">
        <fgColor rgb="FF801786"/>
      </patternFill>
    </fill>
    <fill>
      <patternFill patternType="solid">
        <fgColor rgb="FF741680"/>
      </patternFill>
    </fill>
    <fill>
      <patternFill patternType="solid">
        <fgColor rgb="FF681579"/>
      </patternFill>
    </fill>
    <fill>
      <patternFill patternType="solid">
        <fgColor rgb="FF5D1472"/>
      </patternFill>
    </fill>
    <fill>
      <patternFill patternType="solid">
        <fgColor rgb="FF53136B"/>
      </patternFill>
    </fill>
    <fill>
      <patternFill patternType="solid">
        <fgColor rgb="FF491165"/>
      </patternFill>
    </fill>
    <fill>
      <patternFill patternType="solid">
        <fgColor rgb="FF40105E"/>
      </patternFill>
    </fill>
    <fill>
      <patternFill patternType="solid">
        <fgColor rgb="FF370F57"/>
      </patternFill>
    </fill>
    <fill>
      <patternFill patternType="solid">
        <fgColor rgb="FF2F0E50"/>
      </patternFill>
    </fill>
    <fill>
      <patternFill patternType="solid">
        <fgColor rgb="FF280D4A"/>
      </patternFill>
    </fill>
    <fill>
      <patternFill patternType="solid">
        <fgColor rgb="FF210B43"/>
      </patternFill>
    </fill>
    <fill>
      <patternFill patternType="solid">
        <fgColor rgb="FF1B0A3C"/>
      </patternFill>
    </fill>
    <fill>
      <patternFill patternType="solid">
        <fgColor rgb="FFC68910"/>
      </patternFill>
    </fill>
    <fill>
      <patternFill patternType="solid">
        <fgColor rgb="FF422805"/>
      </patternFill>
    </fill>
    <fill>
      <patternFill patternType="solid">
        <fgColor rgb="FF309CA6"/>
      </patternFill>
    </fill>
    <fill>
      <patternFill patternType="solid">
        <fgColor rgb="FF2C8798"/>
      </patternFill>
    </fill>
    <fill>
      <patternFill patternType="solid">
        <fgColor rgb="FF28738A"/>
      </patternFill>
    </fill>
    <fill>
      <patternFill patternType="solid">
        <fgColor rgb="FF24617C"/>
      </patternFill>
    </fill>
    <fill>
      <patternFill patternType="solid">
        <fgColor rgb="FF20516E"/>
      </patternFill>
    </fill>
    <fill>
      <patternFill patternType="solid">
        <fgColor rgb="FF1C4260"/>
      </patternFill>
    </fill>
    <fill>
      <patternFill patternType="solid">
        <fgColor rgb="FF183453"/>
      </patternFill>
    </fill>
    <fill>
      <patternFill patternType="solid">
        <fgColor rgb="FF142845"/>
      </patternFill>
    </fill>
    <fill>
      <patternFill patternType="solid">
        <fgColor rgb="FF101D37"/>
      </patternFill>
    </fill>
    <fill>
      <patternFill patternType="solid">
        <fgColor rgb="FF9B6B3A"/>
      </patternFill>
    </fill>
    <fill>
      <patternFill patternType="solid">
        <fgColor rgb="FF332113"/>
      </patternFill>
    </fill>
    <fill>
      <patternFill patternType="solid">
        <fgColor rgb="FF3AA630"/>
      </patternFill>
    </fill>
    <fill>
      <patternFill patternType="solid">
        <fgColor rgb="FF25812D"/>
      </patternFill>
    </fill>
    <fill>
      <patternFill patternType="solid">
        <fgColor rgb="FF1A5C2B"/>
      </patternFill>
    </fill>
    <fill>
      <patternFill patternType="solid">
        <fgColor rgb="FF103720"/>
      </patternFill>
    </fill>
    <fill>
      <patternFill patternType="solid">
        <fgColor rgb="FF7C35A0"/>
      </patternFill>
    </fill>
    <fill>
      <patternFill patternType="solid">
        <fgColor rgb="FF2F1135"/>
      </patternFill>
    </fill>
    <fill>
      <patternFill patternType="solid">
        <fgColor rgb="FF9A720C"/>
      </patternFill>
    </fill>
    <fill>
      <patternFill patternType="solid">
        <fgColor rgb="FF6E5708"/>
      </patternFill>
    </fill>
    <fill>
      <patternFill patternType="solid">
        <fgColor rgb="FF423705"/>
      </patternFill>
    </fill>
    <fill>
      <patternFill patternType="solid">
        <fgColor rgb="FF333333"/>
      </patternFill>
    </fill>
    <fill>
      <patternFill patternType="solid">
        <fgColor rgb="FFC53950"/>
      </patternFill>
    </fill>
    <fill>
      <patternFill patternType="solid">
        <fgColor rgb="FF4B1680"/>
      </patternFill>
    </fill>
    <fill>
      <patternFill patternType="solid">
        <fgColor rgb="FFF2F2F2"/>
      </patternFill>
    </fill>
    <fill>
      <patternFill patternType="solid">
        <fgColor rgb="FF646464"/>
      </patternFill>
    </fill>
    <fill>
      <patternFill patternType="solid">
        <fgColor rgb="FFD43DDC"/>
      </patternFill>
    </fill>
    <fill>
      <patternFill patternType="solid">
        <fgColor rgb="FF3E1472"/>
      </patternFill>
    </fill>
    <fill>
      <patternFill patternType="solid">
        <fgColor rgb="FF314DAA"/>
      </patternFill>
    </fill>
    <fill>
      <patternFill patternType="solid">
        <fgColor rgb="FF7B1EAA"/>
      </patternFill>
    </fill>
    <fill>
      <patternFill patternType="solid">
        <fgColor rgb="FF6A1B9C"/>
      </patternFill>
    </fill>
    <fill>
      <patternFill patternType="solid">
        <fgColor rgb="FF492F1C"/>
      </patternFill>
    </fill>
    <fill>
      <patternFill patternType="solid">
        <fgColor rgb="FF321164"/>
      </patternFill>
    </fill>
    <fill>
      <patternFill patternType="solid">
        <fgColor rgb="FF4B4B4B"/>
      </patternFill>
    </fill>
    <fill>
      <patternFill patternType="solid">
        <fgColor rgb="FFC6C6C6"/>
      </patternFill>
    </fill>
    <fill>
      <patternFill patternType="solid">
        <fgColor rgb="FFAEAEAE"/>
      </patternFill>
    </fill>
    <fill>
      <patternFill patternType="solid">
        <fgColor rgb="FF7C7C7C"/>
      </patternFill>
    </fill>
    <fill>
      <patternFill patternType="solid">
        <fgColor rgb="FFA8CCE5"/>
      </patternFill>
    </fill>
    <fill>
      <patternFill patternType="solid">
        <fgColor rgb="FFAA681E"/>
      </patternFill>
    </fill>
    <fill>
      <patternFill patternType="solid">
        <fgColor rgb="FFE467D6"/>
      </patternFill>
    </fill>
    <fill>
      <patternFill patternType="solid">
        <fgColor rgb="FFC72FDA"/>
      </patternFill>
    </fill>
    <fill>
      <patternFill patternType="solid">
        <fgColor rgb="FFA223C6"/>
      </patternFill>
    </fill>
    <fill>
      <patternFill patternType="solid">
        <fgColor rgb="FFF6D697"/>
      </patternFill>
    </fill>
    <fill>
      <patternFill patternType="solid">
        <fgColor rgb="FF52A7CC"/>
      </patternFill>
    </fill>
    <fill>
      <patternFill patternType="solid">
        <fgColor rgb="FF164F2E"/>
      </patternFill>
    </fill>
    <fill>
      <patternFill patternType="solid">
        <fgColor rgb="FF959595"/>
      </patternFill>
    </fill>
    <fill>
      <patternFill patternType="solid">
        <fgColor rgb="FF2F70A5"/>
      </patternFill>
    </fill>
    <fill>
      <patternFill patternType="solid">
        <fgColor rgb="FF275588"/>
      </patternFill>
    </fill>
    <fill>
      <patternFill patternType="solid">
        <fgColor rgb="FF1F3E6B"/>
      </patternFill>
    </fill>
    <fill>
      <patternFill patternType="solid">
        <fgColor rgb="FF16164F"/>
      </patternFill>
    </fill>
    <fill>
      <patternFill patternType="solid">
        <fgColor rgb="FF270F56"/>
      </patternFill>
    </fill>
    <fill>
      <patternFill patternType="solid">
        <fgColor rgb="FF5E3A07"/>
      </patternFill>
    </fill>
    <fill>
      <patternFill patternType="solid">
        <fgColor rgb="FF7AA6D8"/>
      </patternFill>
    </fill>
    <fill>
      <patternFill patternType="solid">
        <fgColor rgb="FFEB91D2"/>
      </patternFill>
    </fill>
    <fill>
      <patternFill patternType="solid">
        <fgColor rgb="FFE159DA"/>
      </patternFill>
    </fill>
    <fill>
      <patternFill patternType="solid">
        <fgColor rgb="FFDF4BDF"/>
      </patternFill>
    </fill>
    <fill>
      <patternFill patternType="solid">
        <fgColor rgb="FF5A198E"/>
      </patternFill>
    </fill>
    <fill>
      <patternFill patternType="solid">
        <fgColor rgb="FF388EC1"/>
      </patternFill>
    </fill>
    <fill>
      <patternFill patternType="solid">
        <fgColor rgb="FF5BCF65"/>
      </patternFill>
    </fill>
    <fill>
      <patternFill patternType="solid">
        <fgColor rgb="FFFF0000"/>
      </patternFill>
    </fill>
    <fill>
      <patternFill patternType="solid">
        <fgColor rgb="FFEE9FD3"/>
      </patternFill>
    </fill>
    <fill>
      <patternFill patternType="solid">
        <fgColor rgb="FFB725D4"/>
      </patternFill>
    </fill>
    <fill>
      <patternFill patternType="solid">
        <fgColor rgb="FF8E20B8"/>
      </patternFill>
    </fill>
    <fill>
      <patternFill patternType="solid">
        <fgColor rgb="FF44194C"/>
      </patternFill>
    </fill>
    <fill>
      <patternFill patternType="solid">
        <fgColor rgb="FF4C78CB"/>
      </patternFill>
    </fill>
    <fill>
      <patternFill patternType="solid">
        <fgColor rgb="FFE983D2"/>
      </patternFill>
    </fill>
    <fill>
      <patternFill patternType="solid">
        <fgColor rgb="FFE675D3"/>
      </patternFill>
    </fill>
    <fill>
      <patternFill patternType="solid">
        <fgColor rgb="FFA8E0E5"/>
      </patternFill>
    </fill>
    <fill>
      <patternFill patternType="solid">
        <fgColor rgb="FFADE5A8"/>
      </patternFill>
    </fill>
    <fill>
      <patternFill patternType="solid">
        <fgColor rgb="FF242E7C"/>
      </patternFill>
    </fill>
    <fill>
      <patternFill patternType="solid">
        <fgColor rgb="FFDF914B"/>
      </patternFill>
    </fill>
    <fill>
      <patternFill patternType="solid">
        <fgColor rgb="FFD0AAE2"/>
      </patternFill>
    </fill>
    <fill>
      <patternFill patternType="solid">
        <fgColor rgb="FF56380F"/>
      </patternFill>
    </fill>
    <fill>
      <patternFill patternType="solid">
        <fgColor rgb="FF8BD0DD"/>
      </patternFill>
    </fill>
    <fill>
      <patternFill patternType="solid">
        <fgColor rgb="FF16294F"/>
      </patternFill>
    </fill>
    <fill>
      <patternFill patternType="solid">
        <fgColor rgb="FF6EBDD5"/>
      </patternFill>
    </fill>
    <fill>
      <patternFill patternType="solid">
        <fgColor rgb="FFE0C6AD"/>
      </patternFill>
    </fill>
    <fill>
      <patternFill patternType="solid">
        <fgColor rgb="FFEEC09F"/>
      </patternFill>
    </fill>
    <fill>
      <patternFill patternType="solid">
        <fgColor rgb="FF2D9B48"/>
      </patternFill>
    </fill>
    <fill>
      <patternFill patternType="solid">
        <fgColor rgb="FFEFBD3C"/>
      </patternFill>
    </fill>
    <fill>
      <patternFill patternType="solid">
        <fgColor rgb="FF5E4F07"/>
      </patternFill>
    </fill>
    <fill>
      <patternFill patternType="solid">
        <fgColor rgb="FFB9930F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64C474"/>
      </patternFill>
    </fill>
    <fill>
      <patternFill patternType="solid">
        <fgColor rgb="FFD56F6F"/>
      </patternFill>
    </fill>
    <fill>
      <patternFill patternType="solid">
        <fgColor rgb="FF53BE65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E4A3A3"/>
      </patternFill>
    </fill>
    <fill>
      <patternFill patternType="solid">
        <fgColor rgb="FFA9DEB2"/>
      </patternFill>
    </fill>
    <fill>
      <patternFill patternType="solid">
        <fgColor rgb="FFB9E4C0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DC8989"/>
      </patternFill>
    </fill>
    <fill>
      <patternFill patternType="solid">
        <fgColor rgb="FF8CD398"/>
      </patternFill>
    </fill>
    <fill>
      <patternFill patternType="solid">
        <fgColor rgb="FFB5E3BD"/>
      </patternFill>
    </fill>
    <fill>
      <patternFill patternType="solid">
        <fgColor rgb="FF42AE54"/>
      </patternFill>
    </fill>
    <fill>
      <patternFill patternType="solid">
        <fgColor rgb="FF84D091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EEC6C6"/>
      </patternFill>
    </fill>
    <fill>
      <patternFill patternType="solid">
        <fgColor rgb="FFC9EACF"/>
      </patternFill>
    </fill>
    <fill>
      <patternFill patternType="solid">
        <fgColor rgb="FF74CA82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5" borderId="9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15" borderId="7" applyAlignment="1" pivotButton="0" quotePrefix="0" xfId="0">
      <alignment horizontal="center" vertical="bottom" textRotation="90"/>
    </xf>
    <xf numFmtId="0" fontId="8" fillId="16" borderId="0" applyAlignment="1" pivotButton="0" quotePrefix="0" xfId="0">
      <alignment horizontal="center" vertical="bottom" textRotation="90"/>
    </xf>
    <xf numFmtId="0" fontId="8" fillId="17" borderId="0" applyAlignment="1" pivotButton="0" quotePrefix="0" xfId="0">
      <alignment horizontal="center" vertical="bottom" textRotation="90"/>
    </xf>
    <xf numFmtId="0" fontId="8" fillId="18" borderId="0" applyAlignment="1" pivotButton="0" quotePrefix="0" xfId="0">
      <alignment horizontal="center" vertical="bottom" textRotation="90"/>
    </xf>
    <xf numFmtId="0" fontId="8" fillId="19" borderId="0" applyAlignment="1" pivotButton="0" quotePrefix="0" xfId="0">
      <alignment horizontal="center" vertical="bottom" textRotation="90"/>
    </xf>
    <xf numFmtId="0" fontId="8" fillId="20" borderId="0" applyAlignment="1" pivotButton="0" quotePrefix="0" xfId="0">
      <alignment horizontal="center" vertical="bottom" textRotation="90"/>
    </xf>
    <xf numFmtId="0" fontId="8" fillId="21" borderId="8" applyAlignment="1" pivotButton="0" quotePrefix="0" xfId="0">
      <alignment horizontal="center" vertical="bottom" textRotation="90"/>
    </xf>
    <xf numFmtId="0" fontId="8" fillId="22" borderId="7" applyAlignment="1" pivotButton="0" quotePrefix="0" xfId="0">
      <alignment horizontal="center" vertical="bottom" textRotation="90"/>
    </xf>
    <xf numFmtId="0" fontId="8" fillId="23" borderId="7" applyAlignment="1" pivotButton="0" quotePrefix="0" xfId="0">
      <alignment horizontal="center" vertical="bottom" textRotation="90"/>
    </xf>
    <xf numFmtId="0" fontId="8" fillId="24" borderId="0" applyAlignment="1" pivotButton="0" quotePrefix="0" xfId="0">
      <alignment horizontal="center" vertical="bottom" textRotation="90"/>
    </xf>
    <xf numFmtId="0" fontId="8" fillId="25" borderId="0" applyAlignment="1" pivotButton="0" quotePrefix="0" xfId="0">
      <alignment horizontal="center" vertical="bottom" textRotation="90"/>
    </xf>
    <xf numFmtId="0" fontId="8" fillId="26" borderId="0" applyAlignment="1" pivotButton="0" quotePrefix="0" xfId="0">
      <alignment horizontal="center" vertical="bottom" textRotation="90"/>
    </xf>
    <xf numFmtId="0" fontId="8" fillId="27" borderId="0" applyAlignment="1" pivotButton="0" quotePrefix="0" xfId="0">
      <alignment horizontal="center" vertical="bottom" textRotation="90"/>
    </xf>
    <xf numFmtId="0" fontId="8" fillId="28" borderId="8" applyAlignment="1" pivotButton="0" quotePrefix="0" xfId="0">
      <alignment horizontal="center" vertical="bottom" textRotation="90"/>
    </xf>
    <xf numFmtId="0" fontId="8" fillId="29" borderId="7" applyAlignment="1" pivotButton="0" quotePrefix="0" xfId="0">
      <alignment horizontal="center" vertical="bottom" textRotation="90"/>
    </xf>
    <xf numFmtId="0" fontId="8" fillId="30" borderId="0" applyAlignment="1" pivotButton="0" quotePrefix="0" xfId="0">
      <alignment horizontal="center" vertical="bottom" textRotation="90"/>
    </xf>
    <xf numFmtId="0" fontId="8" fillId="31" borderId="0" applyAlignment="1" pivotButton="0" quotePrefix="0" xfId="0">
      <alignment horizontal="center" vertical="bottom" textRotation="90"/>
    </xf>
    <xf numFmtId="0" fontId="8" fillId="32" borderId="8" applyAlignment="1" pivotButton="0" quotePrefix="0" xfId="0">
      <alignment horizontal="center" vertical="bottom" textRotation="90"/>
    </xf>
    <xf numFmtId="0" fontId="8" fillId="33" borderId="7" applyAlignment="1" pivotButton="0" quotePrefix="0" xfId="0">
      <alignment horizontal="center" vertical="bottom" textRotation="90"/>
    </xf>
    <xf numFmtId="0" fontId="8" fillId="34" borderId="0" applyAlignment="1" pivotButton="0" quotePrefix="0" xfId="0">
      <alignment horizontal="center" vertical="bottom" textRotation="90"/>
    </xf>
    <xf numFmtId="0" fontId="8" fillId="35" borderId="0" applyAlignment="1" pivotButton="0" quotePrefix="0" xfId="0">
      <alignment horizontal="center" vertical="bottom" textRotation="90"/>
    </xf>
    <xf numFmtId="0" fontId="8" fillId="36" borderId="0" applyAlignment="1" pivotButton="0" quotePrefix="0" xfId="0">
      <alignment horizontal="center" vertical="bottom" textRotation="90"/>
    </xf>
    <xf numFmtId="0" fontId="8" fillId="37" borderId="0" applyAlignment="1" pivotButton="0" quotePrefix="0" xfId="0">
      <alignment horizontal="center" vertical="bottom" textRotation="90"/>
    </xf>
    <xf numFmtId="0" fontId="8" fillId="38" borderId="0" applyAlignment="1" pivotButton="0" quotePrefix="0" xfId="0">
      <alignment horizontal="center" vertical="bottom" textRotation="90"/>
    </xf>
    <xf numFmtId="0" fontId="8" fillId="39" borderId="0" applyAlignment="1" pivotButton="0" quotePrefix="0" xfId="0">
      <alignment horizontal="center" vertical="bottom" textRotation="90"/>
    </xf>
    <xf numFmtId="0" fontId="8" fillId="40" borderId="0" applyAlignment="1" pivotButton="0" quotePrefix="0" xfId="0">
      <alignment horizontal="center" vertical="bottom" textRotation="90"/>
    </xf>
    <xf numFmtId="0" fontId="8" fillId="41" borderId="0" applyAlignment="1" pivotButton="0" quotePrefix="0" xfId="0">
      <alignment horizontal="center" vertical="bottom" textRotation="90"/>
    </xf>
    <xf numFmtId="0" fontId="8" fillId="42" borderId="0" applyAlignment="1" pivotButton="0" quotePrefix="0" xfId="0">
      <alignment horizontal="center" vertical="bottom" textRotation="90"/>
    </xf>
    <xf numFmtId="0" fontId="8" fillId="43" borderId="0" applyAlignment="1" pivotButton="0" quotePrefix="0" xfId="0">
      <alignment horizontal="center" vertical="bottom" textRotation="90"/>
    </xf>
    <xf numFmtId="0" fontId="8" fillId="44" borderId="0" applyAlignment="1" pivotButton="0" quotePrefix="0" xfId="0">
      <alignment horizontal="center" vertical="bottom" textRotation="90"/>
    </xf>
    <xf numFmtId="0" fontId="8" fillId="45" borderId="0" applyAlignment="1" pivotButton="0" quotePrefix="0" xfId="0">
      <alignment horizontal="center" vertical="bottom" textRotation="90"/>
    </xf>
    <xf numFmtId="0" fontId="8" fillId="46" borderId="0" applyAlignment="1" pivotButton="0" quotePrefix="0" xfId="0">
      <alignment horizontal="center" vertical="bottom" textRotation="90"/>
    </xf>
    <xf numFmtId="0" fontId="8" fillId="47" borderId="0" applyAlignment="1" pivotButton="0" quotePrefix="0" xfId="0">
      <alignment horizontal="center" vertical="bottom" textRotation="90"/>
    </xf>
    <xf numFmtId="0" fontId="8" fillId="48" borderId="0" applyAlignment="1" pivotButton="0" quotePrefix="0" xfId="0">
      <alignment horizontal="center" vertical="bottom" textRotation="90"/>
    </xf>
    <xf numFmtId="0" fontId="8" fillId="49" borderId="0" applyAlignment="1" pivotButton="0" quotePrefix="0" xfId="0">
      <alignment horizontal="center" vertical="bottom" textRotation="90"/>
    </xf>
    <xf numFmtId="0" fontId="8" fillId="50" borderId="0" applyAlignment="1" pivotButton="0" quotePrefix="0" xfId="0">
      <alignment horizontal="center" vertical="bottom" textRotation="90"/>
    </xf>
    <xf numFmtId="0" fontId="8" fillId="51" borderId="8" applyAlignment="1" pivotButton="0" quotePrefix="0" xfId="0">
      <alignment horizontal="center" vertical="bottom" textRotation="90"/>
    </xf>
    <xf numFmtId="0" fontId="8" fillId="52" borderId="7" applyAlignment="1" pivotButton="0" quotePrefix="0" xfId="0">
      <alignment horizontal="center" vertical="bottom" textRotation="90"/>
    </xf>
    <xf numFmtId="0" fontId="8" fillId="53" borderId="8" applyAlignment="1" pivotButton="0" quotePrefix="0" xfId="0">
      <alignment horizontal="center" vertical="bottom" textRotation="90"/>
    </xf>
    <xf numFmtId="0" fontId="8" fillId="54" borderId="7" applyAlignment="1" pivotButton="0" quotePrefix="0" xfId="0">
      <alignment horizontal="center" vertical="bottom" textRotation="90"/>
    </xf>
    <xf numFmtId="0" fontId="8" fillId="55" borderId="0" applyAlignment="1" pivotButton="0" quotePrefix="0" xfId="0">
      <alignment horizontal="center" vertical="bottom" textRotation="90"/>
    </xf>
    <xf numFmtId="0" fontId="8" fillId="56" borderId="0" applyAlignment="1" pivotButton="0" quotePrefix="0" xfId="0">
      <alignment horizontal="center" vertical="bottom" textRotation="90"/>
    </xf>
    <xf numFmtId="0" fontId="8" fillId="57" borderId="0" applyAlignment="1" pivotButton="0" quotePrefix="0" xfId="0">
      <alignment horizontal="center" vertical="bottom" textRotation="90"/>
    </xf>
    <xf numFmtId="0" fontId="8" fillId="58" borderId="0" applyAlignment="1" pivotButton="0" quotePrefix="0" xfId="0">
      <alignment horizontal="center" vertical="bottom" textRotation="90"/>
    </xf>
    <xf numFmtId="0" fontId="8" fillId="59" borderId="0" applyAlignment="1" pivotButton="0" quotePrefix="0" xfId="0">
      <alignment horizontal="center" vertical="bottom" textRotation="90"/>
    </xf>
    <xf numFmtId="0" fontId="8" fillId="60" borderId="0" applyAlignment="1" pivotButton="0" quotePrefix="0" xfId="0">
      <alignment horizontal="center" vertical="bottom" textRotation="90"/>
    </xf>
    <xf numFmtId="0" fontId="8" fillId="61" borderId="0" applyAlignment="1" pivotButton="0" quotePrefix="0" xfId="0">
      <alignment horizontal="center" vertical="bottom" textRotation="90"/>
    </xf>
    <xf numFmtId="0" fontId="8" fillId="62" borderId="8" applyAlignment="1" pivotButton="0" quotePrefix="0" xfId="0">
      <alignment horizontal="center" vertical="bottom" textRotation="90"/>
    </xf>
    <xf numFmtId="0" fontId="8" fillId="63" borderId="7" applyAlignment="1" pivotButton="0" quotePrefix="0" xfId="0">
      <alignment horizontal="center" vertical="bottom" textRotation="90"/>
    </xf>
    <xf numFmtId="0" fontId="8" fillId="64" borderId="8" applyAlignment="1" pivotButton="0" quotePrefix="0" xfId="0">
      <alignment horizontal="center" vertical="bottom" textRotation="90"/>
    </xf>
    <xf numFmtId="0" fontId="8" fillId="65" borderId="7" applyAlignment="1" pivotButton="0" quotePrefix="0" xfId="0">
      <alignment horizontal="center" vertical="bottom" textRotation="90"/>
    </xf>
    <xf numFmtId="0" fontId="8" fillId="66" borderId="0" applyAlignment="1" pivotButton="0" quotePrefix="0" xfId="0">
      <alignment horizontal="center" vertical="bottom" textRotation="90"/>
    </xf>
    <xf numFmtId="0" fontId="8" fillId="67" borderId="0" applyAlignment="1" pivotButton="0" quotePrefix="0" xfId="0">
      <alignment horizontal="center" vertical="bottom" textRotation="90"/>
    </xf>
    <xf numFmtId="0" fontId="8" fillId="68" borderId="8" applyAlignment="1" pivotButton="0" quotePrefix="0" xfId="0">
      <alignment horizontal="center" vertical="bottom" textRotation="90"/>
    </xf>
    <xf numFmtId="0" fontId="8" fillId="69" borderId="7" applyAlignment="1" pivotButton="0" quotePrefix="0" xfId="0">
      <alignment horizontal="center" vertical="bottom" textRotation="90"/>
    </xf>
    <xf numFmtId="0" fontId="8" fillId="70" borderId="8" applyAlignment="1" pivotButton="0" quotePrefix="0" xfId="0">
      <alignment horizontal="center" vertical="bottom" textRotation="90"/>
    </xf>
    <xf numFmtId="0" fontId="8" fillId="71" borderId="0" applyAlignment="1" pivotButton="0" quotePrefix="0" xfId="0">
      <alignment horizontal="center" vertical="bottom" textRotation="90"/>
    </xf>
    <xf numFmtId="0" fontId="8" fillId="72" borderId="0" applyAlignment="1" pivotButton="0" quotePrefix="0" xfId="0">
      <alignment horizontal="center" vertical="bottom" textRotation="90"/>
    </xf>
    <xf numFmtId="0" fontId="8" fillId="73" borderId="8" applyAlignment="1" pivotButton="0" quotePrefix="0" xfId="0">
      <alignment horizontal="center" vertical="bottom" textRotation="90"/>
    </xf>
    <xf numFmtId="0" fontId="0" fillId="0" borderId="7" pivotButton="0" quotePrefix="0" xfId="0"/>
    <xf numFmtId="0" fontId="2" fillId="74" borderId="8" applyAlignment="1" pivotButton="0" quotePrefix="0" xfId="0">
      <alignment horizontal="center" vertical="center"/>
    </xf>
    <xf numFmtId="0" fontId="2" fillId="75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76" borderId="0" applyAlignment="1" pivotButton="0" quotePrefix="0" xfId="0">
      <alignment horizontal="center" vertical="center"/>
    </xf>
    <xf numFmtId="0" fontId="0" fillId="77" borderId="0" applyAlignment="1" pivotButton="0" quotePrefix="0" xfId="0">
      <alignment horizontal="left" vertical="center" wrapText="1"/>
    </xf>
    <xf numFmtId="0" fontId="0" fillId="77" borderId="7" pivotButton="0" quotePrefix="0" xfId="0"/>
    <xf numFmtId="0" fontId="0" fillId="77" borderId="0" pivotButton="0" quotePrefix="0" xfId="0"/>
    <xf numFmtId="0" fontId="2" fillId="78" borderId="0" applyAlignment="1" pivotButton="0" quotePrefix="0" xfId="0">
      <alignment horizontal="center" vertical="center"/>
    </xf>
    <xf numFmtId="0" fontId="0" fillId="77" borderId="8" pivotButton="0" quotePrefix="0" xfId="0"/>
    <xf numFmtId="0" fontId="9" fillId="79" borderId="0" applyAlignment="1" pivotButton="0" quotePrefix="0" xfId="0">
      <alignment horizontal="center" vertical="center"/>
    </xf>
    <xf numFmtId="0" fontId="2" fillId="80" borderId="0" applyAlignment="1" pivotButton="0" quotePrefix="0" xfId="0">
      <alignment horizontal="center" vertical="center"/>
    </xf>
    <xf numFmtId="0" fontId="2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  <xf numFmtId="0" fontId="2" fillId="84" borderId="8" applyAlignment="1" pivotButton="0" quotePrefix="0" xfId="0">
      <alignment horizontal="center" vertical="center"/>
    </xf>
    <xf numFmtId="0" fontId="2" fillId="85" borderId="0" applyAlignment="1" pivotButton="0" quotePrefix="0" xfId="0">
      <alignment horizontal="center" vertical="center"/>
    </xf>
    <xf numFmtId="0" fontId="2" fillId="86" borderId="0" applyAlignment="1" pivotButton="0" quotePrefix="0" xfId="0">
      <alignment horizontal="center" vertical="center"/>
    </xf>
    <xf numFmtId="0" fontId="9" fillId="87" borderId="7" applyAlignment="1" pivotButton="0" quotePrefix="0" xfId="0">
      <alignment horizontal="center" vertical="center"/>
    </xf>
    <xf numFmtId="0" fontId="9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9" fillId="90" borderId="7" applyAlignment="1" pivotButton="0" quotePrefix="0" xfId="0">
      <alignment horizontal="center" vertical="center"/>
    </xf>
    <xf numFmtId="0" fontId="2" fillId="91" borderId="0" applyAlignment="1" pivotButton="0" quotePrefix="0" xfId="0">
      <alignment horizontal="center" vertical="center"/>
    </xf>
    <xf numFmtId="0" fontId="9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9" fillId="95" borderId="7" applyAlignment="1" pivotButton="0" quotePrefix="0" xfId="0">
      <alignment horizontal="center" vertical="center"/>
    </xf>
    <xf numFmtId="0" fontId="9" fillId="96" borderId="0" applyAlignment="1" pivotButton="0" quotePrefix="0" xfId="0">
      <alignment horizontal="center" vertical="center"/>
    </xf>
    <xf numFmtId="0" fontId="2" fillId="97" borderId="8" applyAlignment="1" pivotButton="0" quotePrefix="0" xfId="0">
      <alignment horizontal="center" vertical="center"/>
    </xf>
    <xf numFmtId="0" fontId="9" fillId="98" borderId="0" applyAlignment="1" pivotButton="0" quotePrefix="0" xfId="0">
      <alignment horizontal="center" vertical="center"/>
    </xf>
    <xf numFmtId="0" fontId="2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2" fillId="101" borderId="0" applyAlignment="1" pivotButton="0" quotePrefix="0" xfId="0">
      <alignment horizontal="center" vertical="center"/>
    </xf>
    <xf numFmtId="0" fontId="2" fillId="102" borderId="8" applyAlignment="1" pivotButton="0" quotePrefix="0" xfId="0">
      <alignment horizontal="center" vertical="center"/>
    </xf>
    <xf numFmtId="0" fontId="2" fillId="103" borderId="8" applyAlignment="1" pivotButton="0" quotePrefix="0" xfId="0">
      <alignment horizontal="center" vertical="center"/>
    </xf>
    <xf numFmtId="0" fontId="2" fillId="104" borderId="8" applyAlignment="1" pivotButton="0" quotePrefix="0" xfId="0">
      <alignment horizontal="center" vertical="center"/>
    </xf>
    <xf numFmtId="0" fontId="9" fillId="105" borderId="0" applyAlignment="1" pivotButton="0" quotePrefix="0" xfId="0">
      <alignment horizontal="center" vertical="center"/>
    </xf>
    <xf numFmtId="0" fontId="9" fillId="106" borderId="0" applyAlignment="1" pivotButton="0" quotePrefix="0" xfId="0">
      <alignment horizontal="center" vertical="center"/>
    </xf>
    <xf numFmtId="0" fontId="9" fillId="107" borderId="0" applyAlignment="1" pivotButton="0" quotePrefix="0" xfId="0">
      <alignment horizontal="center" vertical="center"/>
    </xf>
    <xf numFmtId="0" fontId="9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center" vertical="center"/>
    </xf>
    <xf numFmtId="0" fontId="2" fillId="110" borderId="0" applyAlignment="1" pivotButton="0" quotePrefix="0" xfId="0">
      <alignment horizontal="center" vertical="center"/>
    </xf>
    <xf numFmtId="0" fontId="9" fillId="111" borderId="0" applyAlignment="1" pivotButton="0" quotePrefix="0" xfId="0">
      <alignment horizontal="center" vertical="center"/>
    </xf>
    <xf numFmtId="0" fontId="2" fillId="112" borderId="0" applyAlignment="1" pivotButton="0" quotePrefix="0" xfId="0">
      <alignment horizontal="left" vertical="center" wrapText="1"/>
    </xf>
    <xf numFmtId="0" fontId="9" fillId="113" borderId="7" applyAlignment="1" pivotButton="0" quotePrefix="0" xfId="0">
      <alignment horizontal="center" vertical="center"/>
    </xf>
    <xf numFmtId="0" fontId="2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2" fillId="116" borderId="8" applyAlignment="1" pivotButton="0" quotePrefix="0" xfId="0">
      <alignment horizontal="center" vertical="center"/>
    </xf>
    <xf numFmtId="0" fontId="2" fillId="117" borderId="0" applyAlignment="1" pivotButton="0" quotePrefix="0" xfId="0">
      <alignment horizontal="center" vertical="center"/>
    </xf>
    <xf numFmtId="0" fontId="9" fillId="118" borderId="0" applyAlignment="1" pivotButton="0" quotePrefix="0" xfId="0">
      <alignment horizontal="center" vertical="center"/>
    </xf>
    <xf numFmtId="0" fontId="9" fillId="119" borderId="0" applyAlignment="1" pivotButton="0" quotePrefix="0" xfId="0">
      <alignment horizontal="center" vertical="center"/>
    </xf>
    <xf numFmtId="0" fontId="9" fillId="120" borderId="7" applyAlignment="1" pivotButton="0" quotePrefix="0" xfId="0">
      <alignment horizontal="center" vertical="center"/>
    </xf>
    <xf numFmtId="0" fontId="9" fillId="121" borderId="7" applyAlignment="1" pivotButton="0" quotePrefix="0" xfId="0">
      <alignment horizontal="center" vertical="center"/>
    </xf>
    <xf numFmtId="0" fontId="2" fillId="122" borderId="0" applyAlignment="1" pivotButton="0" quotePrefix="0" xfId="0">
      <alignment horizontal="center" vertical="center"/>
    </xf>
    <xf numFmtId="0" fontId="9" fillId="123" borderId="0" applyAlignment="1" pivotButton="0" quotePrefix="0" xfId="0">
      <alignment horizontal="center" vertical="center"/>
    </xf>
    <xf numFmtId="0" fontId="9" fillId="124" borderId="7" applyAlignment="1" pivotButton="0" quotePrefix="0" xfId="0">
      <alignment horizontal="center" vertical="center"/>
    </xf>
    <xf numFmtId="0" fontId="2" fillId="125" borderId="8" applyAlignment="1" pivotButton="0" quotePrefix="0" xfId="0">
      <alignment horizontal="center" vertical="center"/>
    </xf>
    <xf numFmtId="0" fontId="9" fillId="126" borderId="0" applyAlignment="1" pivotButton="0" quotePrefix="0" xfId="0">
      <alignment horizontal="center" vertical="center"/>
    </xf>
    <xf numFmtId="0" fontId="2" fillId="127" borderId="8" applyAlignment="1" pivotButton="0" quotePrefix="0" xfId="0">
      <alignment horizontal="center" vertical="center"/>
    </xf>
    <xf numFmtId="0" fontId="9" fillId="128" borderId="0" applyAlignment="1" pivotButton="0" quotePrefix="0" xfId="0">
      <alignment horizontal="center" vertical="center"/>
    </xf>
    <xf numFmtId="0" fontId="9" fillId="129" borderId="7" applyAlignment="1" pivotButton="0" quotePrefix="0" xfId="0">
      <alignment horizontal="center" vertical="center"/>
    </xf>
    <xf numFmtId="0" fontId="9" fillId="130" borderId="7" applyAlignment="1" pivotButton="0" quotePrefix="0" xfId="0">
      <alignment horizontal="center" vertical="center"/>
    </xf>
    <xf numFmtId="0" fontId="2" fillId="131" borderId="0" applyAlignment="1" pivotButton="0" quotePrefix="0" xfId="0">
      <alignment horizontal="center" vertical="center"/>
    </xf>
    <xf numFmtId="0" fontId="9" fillId="132" borderId="0" applyAlignment="1" pivotButton="0" quotePrefix="0" xfId="0">
      <alignment horizontal="center" vertical="center"/>
    </xf>
    <xf numFmtId="0" fontId="2" fillId="133" borderId="8" applyAlignment="1" pivotButton="0" quotePrefix="0" xfId="0">
      <alignment horizontal="center" vertical="center"/>
    </xf>
    <xf numFmtId="0" fontId="2" fillId="13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bottom" wrapText="1"/>
    </xf>
    <xf numFmtId="0" fontId="8" fillId="15" borderId="4" applyAlignment="1" pivotButton="0" quotePrefix="0" xfId="0">
      <alignment horizontal="center" vertical="bottom" textRotation="90"/>
    </xf>
    <xf numFmtId="0" fontId="8" fillId="16" borderId="5" applyAlignment="1" pivotButton="0" quotePrefix="0" xfId="0">
      <alignment horizontal="center" vertical="bottom" textRotation="90"/>
    </xf>
    <xf numFmtId="0" fontId="8" fillId="17" borderId="5" applyAlignment="1" pivotButton="0" quotePrefix="0" xfId="0">
      <alignment horizontal="center" vertical="bottom" textRotation="90"/>
    </xf>
    <xf numFmtId="0" fontId="8" fillId="18" borderId="5" applyAlignment="1" pivotButton="0" quotePrefix="0" xfId="0">
      <alignment horizontal="center" vertical="bottom" textRotation="90"/>
    </xf>
    <xf numFmtId="0" fontId="8" fillId="19" borderId="5" applyAlignment="1" pivotButton="0" quotePrefix="0" xfId="0">
      <alignment horizontal="center" vertical="bottom" textRotation="90"/>
    </xf>
    <xf numFmtId="0" fontId="8" fillId="20" borderId="5" applyAlignment="1" pivotButton="0" quotePrefix="0" xfId="0">
      <alignment horizontal="center" vertical="bottom" textRotation="90"/>
    </xf>
    <xf numFmtId="0" fontId="8" fillId="21" borderId="6" applyAlignment="1" pivotButton="0" quotePrefix="0" xfId="0">
      <alignment horizontal="center" vertical="bottom" textRotation="90"/>
    </xf>
    <xf numFmtId="0" fontId="8" fillId="22" borderId="10" applyAlignment="1" pivotButton="0" quotePrefix="0" xfId="0">
      <alignment horizontal="center" vertical="bottom" textRotation="90"/>
    </xf>
    <xf numFmtId="0" fontId="8" fillId="23" borderId="4" applyAlignment="1" pivotButton="0" quotePrefix="0" xfId="0">
      <alignment horizontal="center" vertical="bottom" textRotation="90"/>
    </xf>
    <xf numFmtId="0" fontId="8" fillId="24" borderId="5" applyAlignment="1" pivotButton="0" quotePrefix="0" xfId="0">
      <alignment horizontal="center" vertical="bottom" textRotation="90"/>
    </xf>
    <xf numFmtId="0" fontId="8" fillId="25" borderId="5" applyAlignment="1" pivotButton="0" quotePrefix="0" xfId="0">
      <alignment horizontal="center" vertical="bottom" textRotation="90"/>
    </xf>
    <xf numFmtId="0" fontId="8" fillId="26" borderId="5" applyAlignment="1" pivotButton="0" quotePrefix="0" xfId="0">
      <alignment horizontal="center" vertical="bottom" textRotation="90"/>
    </xf>
    <xf numFmtId="0" fontId="8" fillId="27" borderId="5" applyAlignment="1" pivotButton="0" quotePrefix="0" xfId="0">
      <alignment horizontal="center" vertical="bottom" textRotation="90"/>
    </xf>
    <xf numFmtId="0" fontId="8" fillId="28" borderId="6" applyAlignment="1" pivotButton="0" quotePrefix="0" xfId="0">
      <alignment horizontal="center" vertical="bottom" textRotation="90"/>
    </xf>
    <xf numFmtId="0" fontId="8" fillId="29" borderId="4" applyAlignment="1" pivotButton="0" quotePrefix="0" xfId="0">
      <alignment horizontal="center" vertical="bottom" textRotation="90"/>
    </xf>
    <xf numFmtId="0" fontId="8" fillId="30" borderId="5" applyAlignment="1" pivotButton="0" quotePrefix="0" xfId="0">
      <alignment horizontal="center" vertical="bottom" textRotation="90"/>
    </xf>
    <xf numFmtId="0" fontId="8" fillId="31" borderId="5" applyAlignment="1" pivotButton="0" quotePrefix="0" xfId="0">
      <alignment horizontal="center" vertical="bottom" textRotation="90"/>
    </xf>
    <xf numFmtId="0" fontId="8" fillId="32" borderId="6" applyAlignment="1" pivotButton="0" quotePrefix="0" xfId="0">
      <alignment horizontal="center" vertical="bottom" textRotation="90"/>
    </xf>
    <xf numFmtId="0" fontId="8" fillId="33" borderId="4" applyAlignment="1" pivotButton="0" quotePrefix="0" xfId="0">
      <alignment horizontal="center" vertical="bottom" textRotation="90"/>
    </xf>
    <xf numFmtId="0" fontId="8" fillId="34" borderId="5" applyAlignment="1" pivotButton="0" quotePrefix="0" xfId="0">
      <alignment horizontal="center" vertical="bottom" textRotation="90"/>
    </xf>
    <xf numFmtId="0" fontId="8" fillId="35" borderId="5" applyAlignment="1" pivotButton="0" quotePrefix="0" xfId="0">
      <alignment horizontal="center" vertical="bottom" textRotation="90"/>
    </xf>
    <xf numFmtId="0" fontId="8" fillId="36" borderId="5" applyAlignment="1" pivotButton="0" quotePrefix="0" xfId="0">
      <alignment horizontal="center" vertical="bottom" textRotation="90"/>
    </xf>
    <xf numFmtId="0" fontId="8" fillId="37" borderId="5" applyAlignment="1" pivotButton="0" quotePrefix="0" xfId="0">
      <alignment horizontal="center" vertical="bottom" textRotation="90"/>
    </xf>
    <xf numFmtId="0" fontId="8" fillId="38" borderId="5" applyAlignment="1" pivotButton="0" quotePrefix="0" xfId="0">
      <alignment horizontal="center" vertical="bottom" textRotation="90"/>
    </xf>
    <xf numFmtId="0" fontId="8" fillId="39" borderId="5" applyAlignment="1" pivotButton="0" quotePrefix="0" xfId="0">
      <alignment horizontal="center" vertical="bottom" textRotation="90"/>
    </xf>
    <xf numFmtId="0" fontId="8" fillId="40" borderId="5" applyAlignment="1" pivotButton="0" quotePrefix="0" xfId="0">
      <alignment horizontal="center" vertical="bottom" textRotation="90"/>
    </xf>
    <xf numFmtId="0" fontId="8" fillId="41" borderId="5" applyAlignment="1" pivotButton="0" quotePrefix="0" xfId="0">
      <alignment horizontal="center" vertical="bottom" textRotation="90"/>
    </xf>
    <xf numFmtId="0" fontId="8" fillId="42" borderId="5" applyAlignment="1" pivotButton="0" quotePrefix="0" xfId="0">
      <alignment horizontal="center" vertical="bottom" textRotation="90"/>
    </xf>
    <xf numFmtId="0" fontId="8" fillId="43" borderId="5" applyAlignment="1" pivotButton="0" quotePrefix="0" xfId="0">
      <alignment horizontal="center" vertical="bottom" textRotation="90"/>
    </xf>
    <xf numFmtId="0" fontId="8" fillId="44" borderId="5" applyAlignment="1" pivotButton="0" quotePrefix="0" xfId="0">
      <alignment horizontal="center" vertical="bottom" textRotation="90"/>
    </xf>
    <xf numFmtId="0" fontId="8" fillId="45" borderId="5" applyAlignment="1" pivotButton="0" quotePrefix="0" xfId="0">
      <alignment horizontal="center" vertical="bottom" textRotation="90"/>
    </xf>
    <xf numFmtId="0" fontId="8" fillId="46" borderId="5" applyAlignment="1" pivotButton="0" quotePrefix="0" xfId="0">
      <alignment horizontal="center" vertical="bottom" textRotation="90"/>
    </xf>
    <xf numFmtId="0" fontId="8" fillId="47" borderId="5" applyAlignment="1" pivotButton="0" quotePrefix="0" xfId="0">
      <alignment horizontal="center" vertical="bottom" textRotation="90"/>
    </xf>
    <xf numFmtId="0" fontId="8" fillId="48" borderId="5" applyAlignment="1" pivotButton="0" quotePrefix="0" xfId="0">
      <alignment horizontal="center" vertical="bottom" textRotation="90"/>
    </xf>
    <xf numFmtId="0" fontId="8" fillId="49" borderId="5" applyAlignment="1" pivotButton="0" quotePrefix="0" xfId="0">
      <alignment horizontal="center" vertical="bottom" textRotation="90"/>
    </xf>
    <xf numFmtId="0" fontId="8" fillId="50" borderId="5" applyAlignment="1" pivotButton="0" quotePrefix="0" xfId="0">
      <alignment horizontal="center" vertical="bottom" textRotation="90"/>
    </xf>
    <xf numFmtId="0" fontId="8" fillId="51" borderId="6" applyAlignment="1" pivotButton="0" quotePrefix="0" xfId="0">
      <alignment horizontal="center" vertical="bottom" textRotation="90"/>
    </xf>
    <xf numFmtId="0" fontId="8" fillId="52" borderId="4" applyAlignment="1" pivotButton="0" quotePrefix="0" xfId="0">
      <alignment horizontal="center" vertical="bottom" textRotation="90"/>
    </xf>
    <xf numFmtId="0" fontId="8" fillId="53" borderId="6" applyAlignment="1" pivotButton="0" quotePrefix="0" xfId="0">
      <alignment horizontal="center" vertical="bottom" textRotation="90"/>
    </xf>
    <xf numFmtId="0" fontId="8" fillId="54" borderId="4" applyAlignment="1" pivotButton="0" quotePrefix="0" xfId="0">
      <alignment horizontal="center" vertical="bottom" textRotation="90"/>
    </xf>
    <xf numFmtId="0" fontId="8" fillId="55" borderId="5" applyAlignment="1" pivotButton="0" quotePrefix="0" xfId="0">
      <alignment horizontal="center" vertical="bottom" textRotation="90"/>
    </xf>
    <xf numFmtId="0" fontId="8" fillId="56" borderId="5" applyAlignment="1" pivotButton="0" quotePrefix="0" xfId="0">
      <alignment horizontal="center" vertical="bottom" textRotation="90"/>
    </xf>
    <xf numFmtId="0" fontId="8" fillId="57" borderId="5" applyAlignment="1" pivotButton="0" quotePrefix="0" xfId="0">
      <alignment horizontal="center" vertical="bottom" textRotation="90"/>
    </xf>
    <xf numFmtId="0" fontId="8" fillId="58" borderId="5" applyAlignment="1" pivotButton="0" quotePrefix="0" xfId="0">
      <alignment horizontal="center" vertical="bottom" textRotation="90"/>
    </xf>
    <xf numFmtId="0" fontId="8" fillId="59" borderId="5" applyAlignment="1" pivotButton="0" quotePrefix="0" xfId="0">
      <alignment horizontal="center" vertical="bottom" textRotation="90"/>
    </xf>
    <xf numFmtId="0" fontId="8" fillId="60" borderId="5" applyAlignment="1" pivotButton="0" quotePrefix="0" xfId="0">
      <alignment horizontal="center" vertical="bottom" textRotation="90"/>
    </xf>
    <xf numFmtId="0" fontId="8" fillId="61" borderId="5" applyAlignment="1" pivotButton="0" quotePrefix="0" xfId="0">
      <alignment horizontal="center" vertical="bottom" textRotation="90"/>
    </xf>
    <xf numFmtId="0" fontId="8" fillId="62" borderId="6" applyAlignment="1" pivotButton="0" quotePrefix="0" xfId="0">
      <alignment horizontal="center" vertical="bottom" textRotation="90"/>
    </xf>
    <xf numFmtId="0" fontId="8" fillId="63" borderId="4" applyAlignment="1" pivotButton="0" quotePrefix="0" xfId="0">
      <alignment horizontal="center" vertical="bottom" textRotation="90"/>
    </xf>
    <xf numFmtId="0" fontId="8" fillId="64" borderId="6" applyAlignment="1" pivotButton="0" quotePrefix="0" xfId="0">
      <alignment horizontal="center" vertical="bottom" textRotation="90"/>
    </xf>
    <xf numFmtId="0" fontId="8" fillId="65" borderId="4" applyAlignment="1" pivotButton="0" quotePrefix="0" xfId="0">
      <alignment horizontal="center" vertical="bottom" textRotation="90"/>
    </xf>
    <xf numFmtId="0" fontId="8" fillId="66" borderId="5" applyAlignment="1" pivotButton="0" quotePrefix="0" xfId="0">
      <alignment horizontal="center" vertical="bottom" textRotation="90"/>
    </xf>
    <xf numFmtId="0" fontId="8" fillId="67" borderId="5" applyAlignment="1" pivotButton="0" quotePrefix="0" xfId="0">
      <alignment horizontal="center" vertical="bottom" textRotation="90"/>
    </xf>
    <xf numFmtId="0" fontId="8" fillId="68" borderId="6" applyAlignment="1" pivotButton="0" quotePrefix="0" xfId="0">
      <alignment horizontal="center" vertical="bottom" textRotation="90"/>
    </xf>
    <xf numFmtId="0" fontId="8" fillId="69" borderId="4" applyAlignment="1" pivotButton="0" quotePrefix="0" xfId="0">
      <alignment horizontal="center" vertical="bottom" textRotation="90"/>
    </xf>
    <xf numFmtId="0" fontId="8" fillId="70" borderId="6" applyAlignment="1" pivotButton="0" quotePrefix="0" xfId="0">
      <alignment horizontal="center" vertical="bottom" textRotation="90"/>
    </xf>
    <xf numFmtId="0" fontId="8" fillId="71" borderId="5" applyAlignment="1" pivotButton="0" quotePrefix="0" xfId="0">
      <alignment horizontal="center" vertical="bottom" textRotation="90"/>
    </xf>
    <xf numFmtId="0" fontId="8" fillId="72" borderId="5" applyAlignment="1" pivotButton="0" quotePrefix="0" xfId="0">
      <alignment horizontal="center" vertical="bottom" textRotation="90"/>
    </xf>
    <xf numFmtId="0" fontId="8" fillId="73" borderId="6" applyAlignment="1" pivotButton="0" quotePrefix="0" xfId="0">
      <alignment horizontal="center" vertical="bottom" textRotation="90"/>
    </xf>
    <xf numFmtId="0" fontId="11" fillId="0" borderId="0" pivotButton="0" quotePrefix="0" xfId="0"/>
    <xf numFmtId="0" fontId="0" fillId="135" borderId="0" applyAlignment="1" pivotButton="0" quotePrefix="0" xfId="0">
      <alignment horizontal="center" vertical="center"/>
    </xf>
    <xf numFmtId="0" fontId="0" fillId="137" borderId="0" applyAlignment="1" pivotButton="0" quotePrefix="0" xfId="0">
      <alignment horizontal="center" vertical="center"/>
    </xf>
    <xf numFmtId="0" fontId="0" fillId="139" borderId="0" applyAlignment="1" pivotButton="0" quotePrefix="0" xfId="0">
      <alignment horizontal="center" vertical="center"/>
    </xf>
    <xf numFmtId="0" fontId="11" fillId="141" borderId="0" applyAlignment="1" pivotButton="0" quotePrefix="0" xfId="0">
      <alignment horizontal="center" vertical="center"/>
    </xf>
    <xf numFmtId="0" fontId="0" fillId="143" borderId="0" applyAlignment="1" pivotButton="0" quotePrefix="0" xfId="0">
      <alignment horizontal="center" vertical="center"/>
    </xf>
    <xf numFmtId="0" fontId="0" fillId="145" borderId="0" applyAlignment="1" pivotButton="0" quotePrefix="0" xfId="0">
      <alignment horizontal="center" vertical="center"/>
    </xf>
    <xf numFmtId="0" fontId="0" fillId="148" borderId="0" applyAlignment="1" pivotButton="0" quotePrefix="0" xfId="0">
      <alignment horizontal="center" vertical="center"/>
    </xf>
    <xf numFmtId="0" fontId="0" fillId="151" borderId="0" applyAlignment="1" pivotButton="0" quotePrefix="0" xfId="0">
      <alignment horizontal="center" vertical="center"/>
    </xf>
    <xf numFmtId="0" fontId="0" fillId="154" borderId="0" applyAlignment="1" pivotButton="0" quotePrefix="0" xfId="0">
      <alignment horizontal="center" vertical="center"/>
    </xf>
    <xf numFmtId="0" fontId="0" fillId="156" borderId="0" applyAlignment="1" pivotButton="0" quotePrefix="0" xfId="0">
      <alignment horizontal="center" vertical="center"/>
    </xf>
    <xf numFmtId="0" fontId="0" fillId="158" borderId="0" applyAlignment="1" pivotButton="0" quotePrefix="0" xfId="0">
      <alignment horizontal="center" vertical="center"/>
    </xf>
    <xf numFmtId="0" fontId="0" fillId="161" borderId="0" applyAlignment="1" pivotButton="0" quotePrefix="0" xfId="0">
      <alignment horizontal="center" vertical="center"/>
    </xf>
    <xf numFmtId="0" fontId="0" fillId="163" borderId="0" applyAlignment="1" pivotButton="0" quotePrefix="0" xfId="0">
      <alignment horizontal="center" vertical="center"/>
    </xf>
    <xf numFmtId="0" fontId="11" fillId="166" borderId="0" applyAlignment="1" pivotButton="0" quotePrefix="0" xfId="0">
      <alignment horizontal="center" vertical="center"/>
    </xf>
    <xf numFmtId="0" fontId="0" fillId="168" borderId="0" applyAlignment="1" pivotButton="0" quotePrefix="0" xfId="0">
      <alignment horizontal="center" vertical="center"/>
    </xf>
    <xf numFmtId="0" fontId="0" fillId="173" borderId="0" applyAlignment="1" pivotButton="0" quotePrefix="0" xfId="0">
      <alignment horizontal="center" vertical="center"/>
    </xf>
    <xf numFmtId="0" fontId="0" fillId="176" borderId="0" applyAlignment="1" pivotButton="0" quotePrefix="0" xfId="0">
      <alignment horizontal="center" vertical="center"/>
    </xf>
    <xf numFmtId="0" fontId="0" fillId="179" borderId="0" applyAlignment="1" pivotButton="0" quotePrefix="0" xfId="0">
      <alignment horizontal="center" vertical="center"/>
    </xf>
    <xf numFmtId="0" fontId="0" fillId="136" borderId="0" applyAlignment="1" pivotButton="0" quotePrefix="0" xfId="0">
      <alignment horizontal="center" vertical="center"/>
    </xf>
    <xf numFmtId="0" fontId="0" fillId="138" borderId="0" applyAlignment="1" pivotButton="0" quotePrefix="0" xfId="0">
      <alignment horizontal="center" vertical="center"/>
    </xf>
    <xf numFmtId="0" fontId="0" fillId="140" borderId="0" applyAlignment="1" pivotButton="0" quotePrefix="0" xfId="0">
      <alignment horizontal="center" vertical="center"/>
    </xf>
    <xf numFmtId="0" fontId="11" fillId="142" borderId="0" applyAlignment="1" pivotButton="0" quotePrefix="0" xfId="0">
      <alignment horizontal="center" vertical="center"/>
    </xf>
    <xf numFmtId="0" fontId="0" fillId="144" borderId="0" applyAlignment="1" pivotButton="0" quotePrefix="0" xfId="0">
      <alignment horizontal="center" vertical="center"/>
    </xf>
    <xf numFmtId="0" fontId="11" fillId="146" borderId="0" applyAlignment="1" pivotButton="0" quotePrefix="0" xfId="0">
      <alignment horizontal="center" vertical="center"/>
    </xf>
    <xf numFmtId="0" fontId="0" fillId="147" borderId="0" applyAlignment="1" pivotButton="0" quotePrefix="0" xfId="0">
      <alignment horizontal="center" vertical="center"/>
    </xf>
    <xf numFmtId="0" fontId="0" fillId="149" borderId="0" applyAlignment="1" pivotButton="0" quotePrefix="0" xfId="0">
      <alignment horizontal="center" vertical="center"/>
    </xf>
    <xf numFmtId="0" fontId="0" fillId="150" borderId="0" applyAlignment="1" pivotButton="0" quotePrefix="0" xfId="0">
      <alignment horizontal="center" vertical="center"/>
    </xf>
    <xf numFmtId="0" fontId="0" fillId="152" borderId="0" applyAlignment="1" pivotButton="0" quotePrefix="0" xfId="0">
      <alignment horizontal="center" vertical="center"/>
    </xf>
    <xf numFmtId="0" fontId="0" fillId="153" borderId="0" applyAlignment="1" pivotButton="0" quotePrefix="0" xfId="0">
      <alignment horizontal="center" vertical="center"/>
    </xf>
    <xf numFmtId="0" fontId="0" fillId="155" borderId="0" applyAlignment="1" pivotButton="0" quotePrefix="0" xfId="0">
      <alignment horizontal="center" vertical="center"/>
    </xf>
    <xf numFmtId="0" fontId="0" fillId="157" borderId="0" applyAlignment="1" pivotButton="0" quotePrefix="0" xfId="0">
      <alignment horizontal="center" vertical="center"/>
    </xf>
    <xf numFmtId="0" fontId="0" fillId="159" borderId="0" applyAlignment="1" pivotButton="0" quotePrefix="0" xfId="0">
      <alignment horizontal="center" vertical="center"/>
    </xf>
    <xf numFmtId="0" fontId="0" fillId="160" borderId="0" applyAlignment="1" pivotButton="0" quotePrefix="0" xfId="0">
      <alignment horizontal="center" vertical="center"/>
    </xf>
    <xf numFmtId="0" fontId="0" fillId="162" borderId="0" applyAlignment="1" pivotButton="0" quotePrefix="0" xfId="0">
      <alignment horizontal="center" vertical="center"/>
    </xf>
    <xf numFmtId="0" fontId="0" fillId="164" borderId="0" applyAlignment="1" pivotButton="0" quotePrefix="0" xfId="0">
      <alignment horizontal="center" vertical="center"/>
    </xf>
    <xf numFmtId="0" fontId="0" fillId="165" borderId="0" applyAlignment="1" pivotButton="0" quotePrefix="0" xfId="0">
      <alignment horizontal="center" vertical="center"/>
    </xf>
    <xf numFmtId="0" fontId="11" fillId="167" borderId="0" applyAlignment="1" pivotButton="0" quotePrefix="0" xfId="0">
      <alignment horizontal="center" vertical="center"/>
    </xf>
    <xf numFmtId="0" fontId="0" fillId="169" borderId="0" applyAlignment="1" pivotButton="0" quotePrefix="0" xfId="0">
      <alignment horizontal="center" vertical="center"/>
    </xf>
    <xf numFmtId="0" fontId="0" fillId="170" borderId="0" applyAlignment="1" pivotButton="0" quotePrefix="0" xfId="0">
      <alignment horizontal="center" vertical="center"/>
    </xf>
    <xf numFmtId="0" fontId="11" fillId="171" borderId="0" applyAlignment="1" pivotButton="0" quotePrefix="0" xfId="0">
      <alignment horizontal="center" vertical="center"/>
    </xf>
    <xf numFmtId="0" fontId="0" fillId="172" borderId="0" applyAlignment="1" pivotButton="0" quotePrefix="0" xfId="0">
      <alignment horizontal="center" vertical="center"/>
    </xf>
    <xf numFmtId="0" fontId="11" fillId="174" borderId="0" applyAlignment="1" pivotButton="0" quotePrefix="0" xfId="0">
      <alignment horizontal="center" vertical="center"/>
    </xf>
    <xf numFmtId="0" fontId="0" fillId="175" borderId="0" applyAlignment="1" pivotButton="0" quotePrefix="0" xfId="0">
      <alignment horizontal="center" vertical="center"/>
    </xf>
    <xf numFmtId="0" fontId="0" fillId="177" borderId="0" applyAlignment="1" pivotButton="0" quotePrefix="0" xfId="0">
      <alignment horizontal="center" vertical="center"/>
    </xf>
    <xf numFmtId="0" fontId="11" fillId="178" borderId="0" applyAlignment="1" pivotButton="0" quotePrefix="0" xfId="0">
      <alignment horizontal="center" vertical="center"/>
    </xf>
    <xf numFmtId="0" fontId="0" fillId="180" borderId="0" applyAlignment="1" pivotButton="0" quotePrefix="0" xfId="0">
      <alignment horizontal="center" vertical="center"/>
    </xf>
    <xf numFmtId="0" fontId="0" fillId="181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</cols>
  <sheetData>
    <row r="1" ht="17" customHeight="1">
      <c r="A1" s="5" t="inlineStr">
        <is>
          <t>DoD 8140.03 Foundational Qualification: Personal Certification</t>
        </is>
      </c>
    </row>
    <row r="2" ht="17" customHeight="1">
      <c r="B2" s="6" t="inlineStr">
        <is>
          <t>CompTIA</t>
        </is>
      </c>
      <c r="C2" s="7" t="n"/>
      <c r="D2" s="7" t="n"/>
      <c r="E2" s="7" t="n"/>
      <c r="F2" s="7" t="n"/>
      <c r="G2" s="7" t="n"/>
      <c r="H2" s="8" t="n"/>
      <c r="I2" s="9" t="inlineStr">
        <is>
          <t>RCCE</t>
        </is>
      </c>
      <c r="J2" s="10" t="inlineStr">
        <is>
          <t>EC-Council</t>
        </is>
      </c>
      <c r="K2" s="7" t="n"/>
      <c r="L2" s="7" t="n"/>
      <c r="M2" s="7" t="n"/>
      <c r="N2" s="7" t="n"/>
      <c r="O2" s="8" t="n"/>
      <c r="P2" s="11" t="inlineStr">
        <is>
          <t>FITSI</t>
        </is>
      </c>
      <c r="Q2" s="7" t="n"/>
      <c r="R2" s="7" t="n"/>
      <c r="S2" s="8" t="n"/>
      <c r="T2" s="12" t="inlineStr">
        <is>
          <t>GIAC (SANS)</t>
        </is>
      </c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8" t="n"/>
      <c r="AM2" s="13" t="inlineStr">
        <is>
          <t>ISACA</t>
        </is>
      </c>
      <c r="AN2" s="8" t="n"/>
      <c r="AO2" s="14" t="inlineStr">
        <is>
          <t>(ISC)2</t>
        </is>
      </c>
      <c r="AP2" s="7" t="n"/>
      <c r="AQ2" s="7" t="n"/>
      <c r="AR2" s="7" t="n"/>
      <c r="AS2" s="7" t="n"/>
      <c r="AT2" s="7" t="n"/>
      <c r="AU2" s="7" t="n"/>
      <c r="AV2" s="7" t="n"/>
      <c r="AW2" s="8" t="n"/>
      <c r="AX2" s="15" t="inlineStr">
        <is>
          <t>CertNexus</t>
        </is>
      </c>
      <c r="AY2" s="8" t="n"/>
      <c r="AZ2" s="16" t="inlineStr">
        <is>
          <t>CISCO</t>
        </is>
      </c>
      <c r="BA2" s="7" t="n"/>
      <c r="BB2" s="7" t="n"/>
      <c r="BC2" s="8" t="n"/>
      <c r="BD2" s="17" t="inlineStr">
        <is>
          <t>mile2</t>
        </is>
      </c>
      <c r="BE2" s="8" t="n"/>
      <c r="BF2" s="18" t="inlineStr">
        <is>
          <t>DAWIA</t>
        </is>
      </c>
      <c r="BG2" s="7" t="n"/>
      <c r="BH2" s="7" t="n"/>
      <c r="BI2" s="8" t="n"/>
    </row>
    <row r="3" ht="40" customHeight="1">
      <c r="A3" s="19" t="inlineStr">
        <is>
          <t>Work Role</t>
        </is>
      </c>
      <c r="B3" s="20" t="inlineStr">
        <is>
          <t>A+</t>
        </is>
      </c>
      <c r="C3" s="21" t="inlineStr">
        <is>
          <t>Net+</t>
        </is>
      </c>
      <c r="D3" s="22" t="inlineStr">
        <is>
          <t>Cloud+</t>
        </is>
      </c>
      <c r="E3" s="23" t="inlineStr">
        <is>
          <t>Sec+</t>
        </is>
      </c>
      <c r="F3" s="24" t="inlineStr">
        <is>
          <t>PenTest</t>
        </is>
      </c>
      <c r="G3" s="25" t="inlineStr">
        <is>
          <t>CASP+</t>
        </is>
      </c>
      <c r="H3" s="26" t="inlineStr">
        <is>
          <t>CySA+</t>
        </is>
      </c>
      <c r="I3" s="27" t="inlineStr">
        <is>
          <t>RCCE-1</t>
        </is>
      </c>
      <c r="J3" s="28" t="inlineStr">
        <is>
          <t>CND</t>
        </is>
      </c>
      <c r="K3" s="29" t="inlineStr">
        <is>
          <t>CEH</t>
        </is>
      </c>
      <c r="L3" s="30" t="inlineStr">
        <is>
          <t>CEH(P)</t>
        </is>
      </c>
      <c r="M3" s="31" t="inlineStr">
        <is>
          <t>CHFI</t>
        </is>
      </c>
      <c r="N3" s="32" t="inlineStr">
        <is>
          <t>ECIH</t>
        </is>
      </c>
      <c r="O3" s="33" t="inlineStr">
        <is>
          <t>CCISO</t>
        </is>
      </c>
      <c r="P3" s="34" t="inlineStr">
        <is>
          <t>FITSP-D</t>
        </is>
      </c>
      <c r="Q3" s="35" t="inlineStr">
        <is>
          <t>FITSP-A</t>
        </is>
      </c>
      <c r="R3" s="36" t="inlineStr">
        <is>
          <t>FITSP-O</t>
        </is>
      </c>
      <c r="S3" s="37" t="inlineStr">
        <is>
          <t>FITSP-M</t>
        </is>
      </c>
      <c r="T3" s="38" t="inlineStr">
        <is>
          <t>GISF</t>
        </is>
      </c>
      <c r="U3" s="39" t="inlineStr">
        <is>
          <t>GDSA</t>
        </is>
      </c>
      <c r="V3" s="40" t="inlineStr">
        <is>
          <t>GMON</t>
        </is>
      </c>
      <c r="W3" s="41" t="inlineStr">
        <is>
          <t>GRID</t>
        </is>
      </c>
      <c r="X3" s="42" t="inlineStr">
        <is>
          <t>GSEC</t>
        </is>
      </c>
      <c r="Y3" s="43" t="inlineStr">
        <is>
          <t>GCLD</t>
        </is>
      </c>
      <c r="Z3" s="44" t="inlineStr">
        <is>
          <t>GCED</t>
        </is>
      </c>
      <c r="AA3" s="45" t="inlineStr">
        <is>
          <t>GCIH</t>
        </is>
      </c>
      <c r="AB3" s="46" t="inlineStr">
        <is>
          <t>GFACT</t>
        </is>
      </c>
      <c r="AC3" s="47" t="inlineStr">
        <is>
          <t>GCSA</t>
        </is>
      </c>
      <c r="AD3" s="48" t="inlineStr">
        <is>
          <t>GICSP</t>
        </is>
      </c>
      <c r="AE3" s="49" t="inlineStr">
        <is>
          <t>GSNA</t>
        </is>
      </c>
      <c r="AF3" s="50" t="inlineStr">
        <is>
          <t>GCFA</t>
        </is>
      </c>
      <c r="AG3" s="51" t="inlineStr">
        <is>
          <t>GCFE</t>
        </is>
      </c>
      <c r="AH3" s="52" t="inlineStr">
        <is>
          <t>GCIA</t>
        </is>
      </c>
      <c r="AI3" s="53" t="inlineStr">
        <is>
          <t>GCTI</t>
        </is>
      </c>
      <c r="AJ3" s="54" t="inlineStr">
        <is>
          <t>GPEN</t>
        </is>
      </c>
      <c r="AK3" s="55" t="inlineStr">
        <is>
          <t>GREM</t>
        </is>
      </c>
      <c r="AL3" s="56" t="inlineStr">
        <is>
          <t>GSLC</t>
        </is>
      </c>
      <c r="AM3" s="57" t="inlineStr">
        <is>
          <t>CISA</t>
        </is>
      </c>
      <c r="AN3" s="58" t="inlineStr">
        <is>
          <t>CISM</t>
        </is>
      </c>
      <c r="AO3" s="59" t="inlineStr">
        <is>
          <t>CC</t>
        </is>
      </c>
      <c r="AP3" s="60" t="inlineStr">
        <is>
          <t>CGRC</t>
        </is>
      </c>
      <c r="AQ3" s="61" t="inlineStr">
        <is>
          <t>CSSLP</t>
        </is>
      </c>
      <c r="AR3" s="62" t="inlineStr">
        <is>
          <t>SSCP</t>
        </is>
      </c>
      <c r="AS3" s="63" t="inlineStr">
        <is>
          <t>CCSP</t>
        </is>
      </c>
      <c r="AT3" s="64" t="inlineStr">
        <is>
          <t>CISSP</t>
        </is>
      </c>
      <c r="AU3" s="65" t="inlineStr">
        <is>
          <t>ISSAP</t>
        </is>
      </c>
      <c r="AV3" s="66" t="inlineStr">
        <is>
          <t>ISSEP</t>
        </is>
      </c>
      <c r="AW3" s="67" t="inlineStr">
        <is>
          <t>ISSMP</t>
        </is>
      </c>
      <c r="AX3" s="68" t="inlineStr">
        <is>
          <t>CSC</t>
        </is>
      </c>
      <c r="AY3" s="69" t="inlineStr">
        <is>
          <t>CFR</t>
        </is>
      </c>
      <c r="AZ3" s="70" t="inlineStr">
        <is>
          <t>CBROPS</t>
        </is>
      </c>
      <c r="BA3" s="71" t="inlineStr">
        <is>
          <t>CCNA</t>
        </is>
      </c>
      <c r="BB3" s="72" t="inlineStr">
        <is>
          <t>CCNP-E</t>
        </is>
      </c>
      <c r="BC3" s="73" t="inlineStr">
        <is>
          <t>CCNP-S</t>
        </is>
      </c>
      <c r="BD3" s="74" t="inlineStr">
        <is>
          <t>CPTE</t>
        </is>
      </c>
      <c r="BE3" s="75" t="inlineStr">
        <is>
          <t>CISSO</t>
        </is>
      </c>
      <c r="BF3" s="57" t="inlineStr">
        <is>
          <t>LCL-F</t>
        </is>
      </c>
      <c r="BG3" s="76" t="inlineStr">
        <is>
          <t>PM-P</t>
        </is>
      </c>
      <c r="BH3" s="77" t="inlineStr">
        <is>
          <t>LCL-A</t>
        </is>
      </c>
      <c r="BI3" s="78" t="inlineStr">
        <is>
          <t>PM-A</t>
        </is>
      </c>
      <c r="BJ3" s="19" t="inlineStr">
        <is>
          <t>Work Role</t>
        </is>
      </c>
    </row>
    <row r="4" ht="14" customHeight="1">
      <c r="A4" s="3" t="inlineStr">
        <is>
          <t>(111) All-Source Analyst</t>
        </is>
      </c>
      <c r="B4" s="79" t="n"/>
      <c r="H4" s="80" t="n">
        <v>3</v>
      </c>
      <c r="I4" s="81" t="n">
        <v>3</v>
      </c>
      <c r="J4" s="79" t="n"/>
      <c r="O4" s="82" t="n"/>
      <c r="P4" s="79" t="n"/>
      <c r="S4" s="82" t="n"/>
      <c r="T4" s="79" t="n"/>
      <c r="AI4" s="83" t="n">
        <v>3</v>
      </c>
      <c r="AL4" s="82" t="n"/>
      <c r="AM4" s="79" t="n"/>
      <c r="AN4" s="82" t="n"/>
      <c r="AO4" s="79" t="n"/>
      <c r="AW4" s="82" t="n"/>
      <c r="AX4" s="79" t="n"/>
      <c r="AY4" s="82" t="n"/>
      <c r="AZ4" s="79" t="n"/>
      <c r="BC4" s="82" t="n"/>
      <c r="BD4" s="79" t="n"/>
      <c r="BE4" s="82" t="n"/>
      <c r="BF4" s="79" t="n"/>
      <c r="BI4" s="82" t="n"/>
      <c r="BJ4" s="3" t="inlineStr">
        <is>
          <t>(111) All-Source Analyst</t>
        </is>
      </c>
    </row>
    <row r="5" ht="14" customHeight="1">
      <c r="A5" s="84" t="inlineStr">
        <is>
          <t>(121) Exploitation Analyst</t>
        </is>
      </c>
      <c r="B5" s="85" t="n"/>
      <c r="C5" s="86" t="n"/>
      <c r="D5" s="86" t="n"/>
      <c r="E5" s="86" t="n"/>
      <c r="F5" s="87" t="n">
        <v>3</v>
      </c>
      <c r="G5" s="86" t="n"/>
      <c r="H5" s="88" t="n"/>
      <c r="I5" s="85" t="n"/>
      <c r="J5" s="85" t="n"/>
      <c r="K5" s="86" t="n"/>
      <c r="L5" s="86" t="n"/>
      <c r="M5" s="86" t="n"/>
      <c r="N5" s="86" t="n"/>
      <c r="O5" s="88" t="n"/>
      <c r="P5" s="85" t="n"/>
      <c r="Q5" s="86" t="n"/>
      <c r="R5" s="86" t="n"/>
      <c r="S5" s="88" t="n"/>
      <c r="T5" s="85" t="n"/>
      <c r="U5" s="86" t="n"/>
      <c r="V5" s="86" t="n"/>
      <c r="W5" s="86" t="n"/>
      <c r="X5" s="86" t="n"/>
      <c r="Y5" s="86" t="n"/>
      <c r="Z5" s="86" t="n"/>
      <c r="AA5" s="89" t="n">
        <v>3</v>
      </c>
      <c r="AB5" s="86" t="n"/>
      <c r="AC5" s="86" t="n"/>
      <c r="AD5" s="86" t="n"/>
      <c r="AE5" s="86" t="n"/>
      <c r="AF5" s="86" t="n"/>
      <c r="AG5" s="86" t="n"/>
      <c r="AH5" s="86" t="n"/>
      <c r="AI5" s="86" t="n"/>
      <c r="AJ5" s="90" t="n">
        <v>3</v>
      </c>
      <c r="AK5" s="86" t="n"/>
      <c r="AL5" s="88" t="n"/>
      <c r="AM5" s="85" t="n"/>
      <c r="AN5" s="88" t="n"/>
      <c r="AO5" s="85" t="n"/>
      <c r="AP5" s="86" t="n"/>
      <c r="AQ5" s="86" t="n"/>
      <c r="AR5" s="86" t="n"/>
      <c r="AS5" s="86" t="n"/>
      <c r="AT5" s="86" t="n"/>
      <c r="AU5" s="86" t="n"/>
      <c r="AV5" s="86" t="n"/>
      <c r="AW5" s="88" t="n"/>
      <c r="AX5" s="85" t="n"/>
      <c r="AY5" s="88" t="n"/>
      <c r="AZ5" s="85" t="n"/>
      <c r="BA5" s="86" t="n"/>
      <c r="BB5" s="86" t="n"/>
      <c r="BC5" s="88" t="n"/>
      <c r="BD5" s="85" t="n"/>
      <c r="BE5" s="88" t="n"/>
      <c r="BF5" s="85" t="n"/>
      <c r="BG5" s="86" t="n"/>
      <c r="BH5" s="86" t="n"/>
      <c r="BI5" s="88" t="n"/>
      <c r="BJ5" s="84" t="inlineStr">
        <is>
          <t>(121) Exploitation Analyst</t>
        </is>
      </c>
    </row>
    <row r="6" ht="14" customHeight="1">
      <c r="A6" s="3" t="inlineStr">
        <is>
          <t>(131) Joint Targeting Analyst</t>
        </is>
      </c>
      <c r="B6" s="79" t="n"/>
      <c r="H6" s="82" t="n"/>
      <c r="I6" s="79" t="n"/>
      <c r="J6" s="79" t="n"/>
      <c r="O6" s="82" t="n"/>
      <c r="P6" s="79" t="n"/>
      <c r="S6" s="82" t="n"/>
      <c r="T6" s="79" t="n"/>
      <c r="AJ6" s="90" t="n">
        <v>3</v>
      </c>
      <c r="AL6" s="82" t="n"/>
      <c r="AM6" s="79" t="n"/>
      <c r="AN6" s="82" t="n"/>
      <c r="AO6" s="79" t="n"/>
      <c r="AW6" s="82" t="n"/>
      <c r="AX6" s="79" t="n"/>
      <c r="AY6" s="82" t="n"/>
      <c r="AZ6" s="79" t="n"/>
      <c r="BC6" s="82" t="n"/>
      <c r="BD6" s="79" t="n"/>
      <c r="BE6" s="82" t="n"/>
      <c r="BF6" s="79" t="n"/>
      <c r="BI6" s="82" t="n"/>
      <c r="BJ6" s="3" t="inlineStr">
        <is>
          <t>(131) Joint Targeting Analyst</t>
        </is>
      </c>
    </row>
    <row r="7" ht="14" customHeight="1">
      <c r="A7" s="84" t="inlineStr">
        <is>
          <t>(132) Target Digital Network Analyst</t>
        </is>
      </c>
      <c r="B7" s="85" t="n"/>
      <c r="C7" s="86" t="n"/>
      <c r="D7" s="86" t="n"/>
      <c r="E7" s="86" t="n"/>
      <c r="F7" s="86" t="n"/>
      <c r="G7" s="86" t="n"/>
      <c r="H7" s="88" t="n"/>
      <c r="I7" s="85" t="n"/>
      <c r="J7" s="85" t="n"/>
      <c r="K7" s="86" t="n"/>
      <c r="L7" s="86" t="n"/>
      <c r="M7" s="86" t="n"/>
      <c r="N7" s="86" t="n"/>
      <c r="O7" s="88" t="n"/>
      <c r="P7" s="85" t="n"/>
      <c r="Q7" s="86" t="n"/>
      <c r="R7" s="86" t="n"/>
      <c r="S7" s="88" t="n"/>
      <c r="T7" s="85" t="n"/>
      <c r="U7" s="86" t="n"/>
      <c r="V7" s="86" t="n"/>
      <c r="W7" s="86" t="n"/>
      <c r="X7" s="86" t="n"/>
      <c r="Y7" s="86" t="n"/>
      <c r="Z7" s="86" t="n"/>
      <c r="AA7" s="89" t="n">
        <v>3</v>
      </c>
      <c r="AB7" s="86" t="n"/>
      <c r="AC7" s="86" t="n"/>
      <c r="AD7" s="86" t="n"/>
      <c r="AE7" s="86" t="n"/>
      <c r="AF7" s="86" t="n"/>
      <c r="AG7" s="86" t="n"/>
      <c r="AH7" s="86" t="n"/>
      <c r="AI7" s="86" t="n"/>
      <c r="AJ7" s="90" t="n">
        <v>3</v>
      </c>
      <c r="AK7" s="86" t="n"/>
      <c r="AL7" s="88" t="n"/>
      <c r="AM7" s="85" t="n"/>
      <c r="AN7" s="88" t="n"/>
      <c r="AO7" s="85" t="n"/>
      <c r="AP7" s="86" t="n"/>
      <c r="AQ7" s="86" t="n"/>
      <c r="AR7" s="86" t="n"/>
      <c r="AS7" s="86" t="n"/>
      <c r="AT7" s="86" t="n"/>
      <c r="AU7" s="86" t="n"/>
      <c r="AV7" s="86" t="n"/>
      <c r="AW7" s="88" t="n"/>
      <c r="AX7" s="85" t="n"/>
      <c r="AY7" s="88" t="n"/>
      <c r="AZ7" s="85" t="n"/>
      <c r="BA7" s="86" t="n"/>
      <c r="BB7" s="86" t="n"/>
      <c r="BC7" s="88" t="n"/>
      <c r="BD7" s="85" t="n"/>
      <c r="BE7" s="88" t="n"/>
      <c r="BF7" s="85" t="n"/>
      <c r="BG7" s="86" t="n"/>
      <c r="BH7" s="86" t="n"/>
      <c r="BI7" s="88" t="n"/>
      <c r="BJ7" s="84" t="inlineStr">
        <is>
          <t>(132) Target Digital Network Analyst</t>
        </is>
      </c>
    </row>
    <row r="8" ht="14" customHeight="1">
      <c r="A8" s="3" t="inlineStr">
        <is>
          <t>(211) Forensics Analyst</t>
        </is>
      </c>
      <c r="B8" s="79" t="n"/>
      <c r="F8" s="87" t="n">
        <v>2</v>
      </c>
      <c r="H8" s="80" t="n">
        <v>3</v>
      </c>
      <c r="I8" s="81" t="n">
        <v>3</v>
      </c>
      <c r="J8" s="79" t="n"/>
      <c r="M8" s="91" t="n">
        <v>2</v>
      </c>
      <c r="O8" s="82" t="n"/>
      <c r="P8" s="79" t="n"/>
      <c r="S8" s="82" t="n"/>
      <c r="T8" s="79" t="n"/>
      <c r="AF8" s="92" t="n">
        <v>3</v>
      </c>
      <c r="AG8" s="93" t="n">
        <v>3</v>
      </c>
      <c r="AL8" s="82" t="n"/>
      <c r="AM8" s="79" t="n"/>
      <c r="AN8" s="82" t="n"/>
      <c r="AO8" s="79" t="n"/>
      <c r="AW8" s="82" t="n"/>
      <c r="AX8" s="79" t="n"/>
      <c r="AY8" s="94" t="n">
        <v>3</v>
      </c>
      <c r="AZ8" s="79" t="n"/>
      <c r="BC8" s="82" t="n"/>
      <c r="BD8" s="79" t="n"/>
      <c r="BE8" s="82" t="n"/>
      <c r="BF8" s="79" t="n"/>
      <c r="BI8" s="82" t="n"/>
      <c r="BJ8" s="3" t="inlineStr">
        <is>
          <t>(211) Forensics Analyst</t>
        </is>
      </c>
    </row>
    <row r="9" ht="14" customHeight="1">
      <c r="A9" s="84" t="inlineStr">
        <is>
          <t>(212) Cyber Defense Forensics Analyst</t>
        </is>
      </c>
      <c r="B9" s="85" t="n"/>
      <c r="C9" s="86" t="n"/>
      <c r="D9" s="86" t="n"/>
      <c r="E9" s="86" t="n"/>
      <c r="F9" s="87" t="n">
        <v>3</v>
      </c>
      <c r="G9" s="86" t="n"/>
      <c r="H9" s="80" t="n">
        <v>3</v>
      </c>
      <c r="I9" s="81" t="n">
        <v>2</v>
      </c>
      <c r="J9" s="85" t="n"/>
      <c r="K9" s="86" t="n"/>
      <c r="L9" s="86" t="n"/>
      <c r="M9" s="91" t="n">
        <v>2</v>
      </c>
      <c r="N9" s="86" t="n"/>
      <c r="O9" s="88" t="n"/>
      <c r="P9" s="85" t="n"/>
      <c r="Q9" s="86" t="n"/>
      <c r="R9" s="86" t="n"/>
      <c r="S9" s="88" t="n"/>
      <c r="T9" s="85" t="n"/>
      <c r="U9" s="86" t="n"/>
      <c r="V9" s="86" t="n"/>
      <c r="W9" s="86" t="n"/>
      <c r="X9" s="86" t="n"/>
      <c r="Y9" s="86" t="n"/>
      <c r="Z9" s="86" t="n"/>
      <c r="AA9" s="86" t="n"/>
      <c r="AB9" s="86" t="n"/>
      <c r="AC9" s="86" t="n"/>
      <c r="AD9" s="86" t="n"/>
      <c r="AE9" s="86" t="n"/>
      <c r="AF9" s="92" t="n">
        <v>3</v>
      </c>
      <c r="AG9" s="93" t="n">
        <v>3</v>
      </c>
      <c r="AH9" s="86" t="n"/>
      <c r="AI9" s="86" t="n"/>
      <c r="AJ9" s="86" t="n"/>
      <c r="AK9" s="95" t="n">
        <v>3</v>
      </c>
      <c r="AL9" s="88" t="n"/>
      <c r="AM9" s="85" t="n"/>
      <c r="AN9" s="88" t="n"/>
      <c r="AO9" s="85" t="n"/>
      <c r="AP9" s="86" t="n"/>
      <c r="AQ9" s="86" t="n"/>
      <c r="AR9" s="86" t="n"/>
      <c r="AS9" s="86" t="n"/>
      <c r="AT9" s="86" t="n"/>
      <c r="AU9" s="86" t="n"/>
      <c r="AV9" s="86" t="n"/>
      <c r="AW9" s="88" t="n"/>
      <c r="AX9" s="85" t="n"/>
      <c r="AY9" s="94" t="n">
        <v>3</v>
      </c>
      <c r="AZ9" s="85" t="n"/>
      <c r="BA9" s="86" t="n"/>
      <c r="BB9" s="86" t="n"/>
      <c r="BC9" s="88" t="n"/>
      <c r="BD9" s="85" t="n"/>
      <c r="BE9" s="88" t="n"/>
      <c r="BF9" s="85" t="n"/>
      <c r="BG9" s="86" t="n"/>
      <c r="BH9" s="86" t="n"/>
      <c r="BI9" s="88" t="n"/>
      <c r="BJ9" s="84" t="inlineStr">
        <is>
          <t>(212) Cyber Defense Forensics Analyst</t>
        </is>
      </c>
    </row>
    <row r="10" ht="14" customHeight="1">
      <c r="A10" s="3" t="inlineStr">
        <is>
          <t>(221) Cyber Crime Investigator</t>
        </is>
      </c>
      <c r="B10" s="79" t="n"/>
      <c r="F10" s="87" t="n">
        <v>2</v>
      </c>
      <c r="G10" s="96" t="n">
        <v>3</v>
      </c>
      <c r="H10" s="80" t="n">
        <v>3</v>
      </c>
      <c r="I10" s="79" t="n"/>
      <c r="J10" s="79" t="n"/>
      <c r="M10" s="91" t="n">
        <v>2</v>
      </c>
      <c r="O10" s="82" t="n"/>
      <c r="P10" s="79" t="n"/>
      <c r="S10" s="82" t="n"/>
      <c r="T10" s="79" t="n"/>
      <c r="AA10" s="89" t="n">
        <v>1</v>
      </c>
      <c r="AF10" s="92" t="n">
        <v>3</v>
      </c>
      <c r="AG10" s="93" t="n">
        <v>3</v>
      </c>
      <c r="AL10" s="82" t="n"/>
      <c r="AM10" s="79" t="n"/>
      <c r="AN10" s="82" t="n"/>
      <c r="AO10" s="79" t="n"/>
      <c r="AW10" s="82" t="n"/>
      <c r="AX10" s="79" t="n"/>
      <c r="AY10" s="94" t="n">
        <v>3</v>
      </c>
      <c r="AZ10" s="79" t="n"/>
      <c r="BC10" s="82" t="n"/>
      <c r="BD10" s="79" t="n"/>
      <c r="BE10" s="82" t="n"/>
      <c r="BF10" s="79" t="n"/>
      <c r="BI10" s="82" t="n"/>
      <c r="BJ10" s="3" t="inlineStr">
        <is>
          <t>(221) Cyber Crime Investigator</t>
        </is>
      </c>
    </row>
    <row r="11" ht="14" customHeight="1">
      <c r="A11" s="84" t="inlineStr">
        <is>
          <t>(311) All-Source Collection Manager</t>
        </is>
      </c>
      <c r="B11" s="85" t="n"/>
      <c r="C11" s="86" t="n"/>
      <c r="D11" s="86" t="n"/>
      <c r="E11" s="86" t="n"/>
      <c r="F11" s="86" t="n"/>
      <c r="G11" s="86" t="n"/>
      <c r="H11" s="88" t="n"/>
      <c r="I11" s="85" t="n"/>
      <c r="J11" s="85" t="n"/>
      <c r="K11" s="86" t="n"/>
      <c r="L11" s="86" t="n"/>
      <c r="M11" s="86" t="n"/>
      <c r="N11" s="86" t="n"/>
      <c r="O11" s="88" t="n"/>
      <c r="P11" s="85" t="n"/>
      <c r="Q11" s="86" t="n"/>
      <c r="R11" s="86" t="n"/>
      <c r="S11" s="88" t="n"/>
      <c r="T11" s="85" t="n"/>
      <c r="U11" s="86" t="n"/>
      <c r="V11" s="86" t="n"/>
      <c r="W11" s="86" t="n"/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92" t="n">
        <v>3</v>
      </c>
      <c r="AG11" s="86" t="n"/>
      <c r="AH11" s="86" t="n"/>
      <c r="AI11" s="83" t="n">
        <v>3</v>
      </c>
      <c r="AJ11" s="86" t="n"/>
      <c r="AK11" s="86" t="n"/>
      <c r="AL11" s="88" t="n"/>
      <c r="AM11" s="85" t="n"/>
      <c r="AN11" s="88" t="n"/>
      <c r="AO11" s="85" t="n"/>
      <c r="AP11" s="86" t="n"/>
      <c r="AQ11" s="86" t="n"/>
      <c r="AR11" s="86" t="n"/>
      <c r="AS11" s="86" t="n"/>
      <c r="AT11" s="86" t="n"/>
      <c r="AU11" s="86" t="n"/>
      <c r="AV11" s="86" t="n"/>
      <c r="AW11" s="88" t="n"/>
      <c r="AX11" s="85" t="n"/>
      <c r="AY11" s="88" t="n"/>
      <c r="AZ11" s="85" t="n"/>
      <c r="BA11" s="86" t="n"/>
      <c r="BB11" s="86" t="n"/>
      <c r="BC11" s="88" t="n"/>
      <c r="BD11" s="85" t="n"/>
      <c r="BE11" s="88" t="n"/>
      <c r="BF11" s="85" t="n"/>
      <c r="BG11" s="86" t="n"/>
      <c r="BH11" s="86" t="n"/>
      <c r="BI11" s="88" t="n"/>
      <c r="BJ11" s="84" t="inlineStr">
        <is>
          <t>(311) All-Source Collection Manager</t>
        </is>
      </c>
    </row>
    <row r="12" ht="14" customHeight="1">
      <c r="A12" s="3" t="inlineStr">
        <is>
          <t>(312) All-Source Collection Requirements Manager</t>
        </is>
      </c>
      <c r="B12" s="79" t="n"/>
      <c r="H12" s="82" t="n"/>
      <c r="I12" s="79" t="n"/>
      <c r="J12" s="79" t="n"/>
      <c r="O12" s="82" t="n"/>
      <c r="P12" s="79" t="n"/>
      <c r="S12" s="82" t="n"/>
      <c r="T12" s="79" t="n"/>
      <c r="AF12" s="92" t="n">
        <v>3</v>
      </c>
      <c r="AI12" s="83" t="n">
        <v>3</v>
      </c>
      <c r="AL12" s="82" t="n"/>
      <c r="AM12" s="79" t="n"/>
      <c r="AN12" s="82" t="n"/>
      <c r="AO12" s="79" t="n"/>
      <c r="AW12" s="82" t="n"/>
      <c r="AX12" s="79" t="n"/>
      <c r="AY12" s="82" t="n"/>
      <c r="AZ12" s="79" t="n"/>
      <c r="BC12" s="82" t="n"/>
      <c r="BD12" s="79" t="n"/>
      <c r="BE12" s="82" t="n"/>
      <c r="BF12" s="79" t="n"/>
      <c r="BI12" s="82" t="n"/>
      <c r="BJ12" s="3" t="inlineStr">
        <is>
          <t>(312) All-Source Collection Requirements Manager</t>
        </is>
      </c>
    </row>
    <row r="13" ht="14" customHeight="1">
      <c r="A13" s="84" t="inlineStr">
        <is>
          <t>(331) Cyber Intelligence Planner</t>
        </is>
      </c>
      <c r="B13" s="85" t="n"/>
      <c r="C13" s="86" t="n"/>
      <c r="D13" s="86" t="n"/>
      <c r="E13" s="86" t="n"/>
      <c r="F13" s="86" t="n"/>
      <c r="G13" s="86" t="n"/>
      <c r="H13" s="88" t="n"/>
      <c r="I13" s="85" t="n"/>
      <c r="J13" s="85" t="n"/>
      <c r="K13" s="86" t="n"/>
      <c r="L13" s="86" t="n"/>
      <c r="M13" s="86" t="n"/>
      <c r="N13" s="86" t="n"/>
      <c r="O13" s="88" t="n"/>
      <c r="P13" s="85" t="n"/>
      <c r="Q13" s="86" t="n"/>
      <c r="R13" s="86" t="n"/>
      <c r="S13" s="88" t="n"/>
      <c r="T13" s="85" t="n"/>
      <c r="U13" s="86" t="n"/>
      <c r="V13" s="86" t="n"/>
      <c r="W13" s="86" t="n"/>
      <c r="X13" s="86" t="n"/>
      <c r="Y13" s="86" t="n"/>
      <c r="Z13" s="86" t="n"/>
      <c r="AA13" s="86" t="n"/>
      <c r="AB13" s="86" t="n"/>
      <c r="AC13" s="86" t="n"/>
      <c r="AD13" s="86" t="n"/>
      <c r="AE13" s="86" t="n"/>
      <c r="AF13" s="86" t="n"/>
      <c r="AG13" s="86" t="n"/>
      <c r="AH13" s="86" t="n"/>
      <c r="AI13" s="83" t="n">
        <v>3</v>
      </c>
      <c r="AJ13" s="86" t="n"/>
      <c r="AK13" s="86" t="n"/>
      <c r="AL13" s="88" t="n"/>
      <c r="AM13" s="85" t="n"/>
      <c r="AN13" s="88" t="n"/>
      <c r="AO13" s="85" t="n"/>
      <c r="AP13" s="86" t="n"/>
      <c r="AQ13" s="86" t="n"/>
      <c r="AR13" s="86" t="n"/>
      <c r="AS13" s="86" t="n"/>
      <c r="AT13" s="86" t="n"/>
      <c r="AU13" s="86" t="n"/>
      <c r="AV13" s="86" t="n"/>
      <c r="AW13" s="88" t="n"/>
      <c r="AX13" s="85" t="n"/>
      <c r="AY13" s="88" t="n"/>
      <c r="AZ13" s="85" t="n"/>
      <c r="BA13" s="86" t="n"/>
      <c r="BB13" s="86" t="n"/>
      <c r="BC13" s="88" t="n"/>
      <c r="BD13" s="85" t="n"/>
      <c r="BE13" s="88" t="n"/>
      <c r="BF13" s="85" t="n"/>
      <c r="BG13" s="86" t="n"/>
      <c r="BH13" s="86" t="n"/>
      <c r="BI13" s="88" t="n"/>
      <c r="BJ13" s="84" t="inlineStr">
        <is>
          <t>(331) Cyber Intelligence Planner</t>
        </is>
      </c>
    </row>
    <row r="14" ht="14" customHeight="1">
      <c r="A14" s="3" t="inlineStr">
        <is>
          <t>(332) Cyber Operations Planner</t>
        </is>
      </c>
      <c r="B14" s="79" t="n"/>
      <c r="H14" s="82" t="n"/>
      <c r="I14" s="81" t="n">
        <v>3</v>
      </c>
      <c r="J14" s="79" t="n"/>
      <c r="O14" s="82" t="n"/>
      <c r="P14" s="79" t="n"/>
      <c r="S14" s="82" t="n"/>
      <c r="T14" s="79" t="n"/>
      <c r="AA14" s="89" t="n">
        <v>3</v>
      </c>
      <c r="AJ14" s="90" t="n">
        <v>3</v>
      </c>
      <c r="AL14" s="82" t="n"/>
      <c r="AM14" s="79" t="n"/>
      <c r="AN14" s="82" t="n"/>
      <c r="AO14" s="79" t="n"/>
      <c r="AW14" s="82" t="n"/>
      <c r="AX14" s="79" t="n"/>
      <c r="AY14" s="82" t="n"/>
      <c r="AZ14" s="79" t="n"/>
      <c r="BC14" s="82" t="n"/>
      <c r="BD14" s="79" t="n"/>
      <c r="BE14" s="82" t="n"/>
      <c r="BF14" s="79" t="n"/>
      <c r="BI14" s="82" t="n"/>
      <c r="BJ14" s="3" t="inlineStr">
        <is>
          <t>(332) Cyber Operations Planner</t>
        </is>
      </c>
    </row>
    <row r="15" ht="14" customHeight="1">
      <c r="A15" s="84" t="inlineStr">
        <is>
          <t>(411) Technical Support Specialist</t>
        </is>
      </c>
      <c r="B15" s="97" t="n">
        <v>1</v>
      </c>
      <c r="C15" s="98" t="n">
        <v>1</v>
      </c>
      <c r="D15" s="86" t="n"/>
      <c r="E15" s="99" t="n">
        <v>2</v>
      </c>
      <c r="F15" s="86" t="n"/>
      <c r="G15" s="96" t="n">
        <v>3</v>
      </c>
      <c r="H15" s="88" t="n"/>
      <c r="I15" s="85" t="n"/>
      <c r="J15" s="100" t="n">
        <v>2</v>
      </c>
      <c r="K15" s="86" t="n"/>
      <c r="L15" s="86" t="n"/>
      <c r="M15" s="86" t="n"/>
      <c r="N15" s="86" t="n"/>
      <c r="O15" s="88" t="n"/>
      <c r="P15" s="85" t="n"/>
      <c r="Q15" s="86" t="n"/>
      <c r="R15" s="101" t="n">
        <v>3</v>
      </c>
      <c r="S15" s="88" t="n"/>
      <c r="T15" s="85" t="n"/>
      <c r="U15" s="86" t="n"/>
      <c r="V15" s="86" t="n"/>
      <c r="W15" s="86" t="n"/>
      <c r="X15" s="102" t="n">
        <v>2</v>
      </c>
      <c r="Y15" s="86" t="n"/>
      <c r="Z15" s="86" t="n"/>
      <c r="AA15" s="86" t="n"/>
      <c r="AB15" s="103" t="n">
        <v>2</v>
      </c>
      <c r="AC15" s="86" t="n"/>
      <c r="AD15" s="104" t="n">
        <v>3</v>
      </c>
      <c r="AE15" s="86" t="n"/>
      <c r="AF15" s="86" t="n"/>
      <c r="AG15" s="86" t="n"/>
      <c r="AH15" s="86" t="n"/>
      <c r="AI15" s="86" t="n"/>
      <c r="AJ15" s="86" t="n"/>
      <c r="AK15" s="86" t="n"/>
      <c r="AL15" s="88" t="n"/>
      <c r="AM15" s="105" t="n">
        <v>3</v>
      </c>
      <c r="AN15" s="88" t="n"/>
      <c r="AO15" s="85" t="n"/>
      <c r="AP15" s="86" t="n"/>
      <c r="AQ15" s="86" t="n"/>
      <c r="AR15" s="106" t="n">
        <v>3</v>
      </c>
      <c r="AS15" s="86" t="n"/>
      <c r="AT15" s="86" t="n"/>
      <c r="AU15" s="86" t="n"/>
      <c r="AV15" s="86" t="n"/>
      <c r="AW15" s="88" t="n"/>
      <c r="AX15" s="85" t="n"/>
      <c r="AY15" s="88" t="n"/>
      <c r="AZ15" s="85" t="n"/>
      <c r="BA15" s="86" t="n"/>
      <c r="BB15" s="86" t="n"/>
      <c r="BC15" s="107" t="n">
        <v>3</v>
      </c>
      <c r="BD15" s="85" t="n"/>
      <c r="BE15" s="88" t="n"/>
      <c r="BF15" s="85" t="n"/>
      <c r="BG15" s="86" t="n"/>
      <c r="BH15" s="86" t="n"/>
      <c r="BI15" s="88" t="n"/>
      <c r="BJ15" s="84" t="inlineStr">
        <is>
          <t>(411) Technical Support Specialist</t>
        </is>
      </c>
    </row>
    <row r="16" ht="14" customHeight="1">
      <c r="A16" s="3" t="inlineStr">
        <is>
          <t>(421) Database Administrator</t>
        </is>
      </c>
      <c r="B16" s="79" t="n"/>
      <c r="D16" s="108" t="n">
        <v>2</v>
      </c>
      <c r="E16" s="99" t="n">
        <v>2</v>
      </c>
      <c r="G16" s="96" t="n">
        <v>3</v>
      </c>
      <c r="H16" s="82" t="n"/>
      <c r="I16" s="79" t="n"/>
      <c r="J16" s="79" t="n"/>
      <c r="O16" s="82" t="n"/>
      <c r="P16" s="79" t="n"/>
      <c r="S16" s="82" t="n"/>
      <c r="T16" s="79" t="n"/>
      <c r="X16" s="102" t="n">
        <v>2</v>
      </c>
      <c r="AL16" s="82" t="n"/>
      <c r="AM16" s="105" t="n">
        <v>3</v>
      </c>
      <c r="AN16" s="82" t="n"/>
      <c r="AO16" s="79" t="n"/>
      <c r="AR16" s="106" t="n">
        <v>2</v>
      </c>
      <c r="AT16" s="109" t="n">
        <v>3</v>
      </c>
      <c r="AU16" s="110" t="n">
        <v>3</v>
      </c>
      <c r="AV16" s="111" t="n">
        <v>3</v>
      </c>
      <c r="AW16" s="82" t="n"/>
      <c r="AX16" s="79" t="n"/>
      <c r="AY16" s="82" t="n"/>
      <c r="AZ16" s="79" t="n"/>
      <c r="BC16" s="107" t="n">
        <v>3</v>
      </c>
      <c r="BD16" s="79" t="n"/>
      <c r="BE16" s="82" t="n"/>
      <c r="BF16" s="79" t="n"/>
      <c r="BI16" s="82" t="n"/>
      <c r="BJ16" s="3" t="inlineStr">
        <is>
          <t>(421) Database Administrator</t>
        </is>
      </c>
    </row>
    <row r="17" ht="14" customHeight="1">
      <c r="A17" s="84" t="inlineStr">
        <is>
          <t>(422) Data Analyst</t>
        </is>
      </c>
      <c r="B17" s="85" t="n"/>
      <c r="C17" s="86" t="n"/>
      <c r="D17" s="86" t="n"/>
      <c r="E17" s="86" t="n"/>
      <c r="F17" s="86" t="n"/>
      <c r="G17" s="86" t="n"/>
      <c r="H17" s="88" t="n"/>
      <c r="I17" s="85" t="n"/>
      <c r="J17" s="85" t="n"/>
      <c r="K17" s="86" t="n"/>
      <c r="L17" s="86" t="n"/>
      <c r="M17" s="86" t="n"/>
      <c r="N17" s="86" t="n"/>
      <c r="O17" s="112" t="n">
        <v>3</v>
      </c>
      <c r="P17" s="85" t="n"/>
      <c r="Q17" s="86" t="n"/>
      <c r="R17" s="86" t="n"/>
      <c r="S17" s="88" t="n"/>
      <c r="T17" s="85" t="n"/>
      <c r="U17" s="86" t="n"/>
      <c r="V17" s="86" t="n"/>
      <c r="W17" s="86" t="n"/>
      <c r="X17" s="102" t="n">
        <v>2</v>
      </c>
      <c r="Y17" s="86" t="n"/>
      <c r="Z17" s="86" t="n"/>
      <c r="AA17" s="86" t="n"/>
      <c r="AB17" s="86" t="n"/>
      <c r="AC17" s="86" t="n"/>
      <c r="AD17" s="86" t="n"/>
      <c r="AE17" s="86" t="n"/>
      <c r="AF17" s="86" t="n"/>
      <c r="AG17" s="86" t="n"/>
      <c r="AH17" s="86" t="n"/>
      <c r="AI17" s="86" t="n"/>
      <c r="AJ17" s="86" t="n"/>
      <c r="AK17" s="86" t="n"/>
      <c r="AL17" s="113" t="n">
        <v>3</v>
      </c>
      <c r="AM17" s="85" t="n"/>
      <c r="AN17" s="114" t="n">
        <v>3</v>
      </c>
      <c r="AO17" s="85" t="n"/>
      <c r="AP17" s="86" t="n"/>
      <c r="AQ17" s="86" t="n"/>
      <c r="AR17" s="106" t="n">
        <v>2</v>
      </c>
      <c r="AS17" s="86" t="n"/>
      <c r="AT17" s="109" t="n">
        <v>3</v>
      </c>
      <c r="AU17" s="86" t="n"/>
      <c r="AV17" s="86" t="n"/>
      <c r="AW17" s="88" t="n"/>
      <c r="AX17" s="85" t="n"/>
      <c r="AY17" s="88" t="n"/>
      <c r="AZ17" s="85" t="n"/>
      <c r="BA17" s="86" t="n"/>
      <c r="BB17" s="86" t="n"/>
      <c r="BC17" s="88" t="n"/>
      <c r="BD17" s="85" t="n"/>
      <c r="BE17" s="88" t="n"/>
      <c r="BF17" s="85" t="n"/>
      <c r="BG17" s="86" t="n"/>
      <c r="BH17" s="86" t="n"/>
      <c r="BI17" s="88" t="n"/>
      <c r="BJ17" s="84" t="inlineStr">
        <is>
          <t>(422) Data Analyst</t>
        </is>
      </c>
    </row>
    <row r="18" ht="14" customHeight="1">
      <c r="A18" s="3" t="inlineStr">
        <is>
          <t>(431) Knowledge Manager</t>
        </is>
      </c>
      <c r="B18" s="79" t="n"/>
      <c r="E18" s="99" t="n">
        <v>2</v>
      </c>
      <c r="H18" s="82" t="n"/>
      <c r="I18" s="79" t="n"/>
      <c r="J18" s="79" t="n"/>
      <c r="O18" s="82" t="n"/>
      <c r="P18" s="79" t="n"/>
      <c r="S18" s="82" t="n"/>
      <c r="T18" s="79" t="n"/>
      <c r="AL18" s="82" t="n"/>
      <c r="AM18" s="79" t="n"/>
      <c r="AN18" s="82" t="n"/>
      <c r="AO18" s="79" t="n"/>
      <c r="AR18" s="106" t="n">
        <v>2</v>
      </c>
      <c r="AW18" s="82" t="n"/>
      <c r="AX18" s="79" t="n"/>
      <c r="AY18" s="82" t="n"/>
      <c r="AZ18" s="79" t="n"/>
      <c r="BC18" s="82" t="n"/>
      <c r="BD18" s="79" t="n"/>
      <c r="BE18" s="82" t="n"/>
      <c r="BF18" s="79" t="n"/>
      <c r="BI18" s="82" t="n"/>
      <c r="BJ18" s="3" t="inlineStr">
        <is>
          <t>(431) Knowledge Manager</t>
        </is>
      </c>
    </row>
    <row r="19" ht="14" customHeight="1">
      <c r="A19" s="84" t="inlineStr">
        <is>
          <t>(441) Network Operations Specialist</t>
        </is>
      </c>
      <c r="B19" s="85" t="n"/>
      <c r="C19" s="98" t="n">
        <v>1</v>
      </c>
      <c r="D19" s="108" t="n">
        <v>2</v>
      </c>
      <c r="E19" s="99" t="n">
        <v>2</v>
      </c>
      <c r="F19" s="86" t="n"/>
      <c r="G19" s="96" t="n">
        <v>3</v>
      </c>
      <c r="H19" s="88" t="n"/>
      <c r="I19" s="85" t="n"/>
      <c r="J19" s="100" t="n">
        <v>1</v>
      </c>
      <c r="K19" s="115" t="n">
        <v>2</v>
      </c>
      <c r="L19" s="86" t="n"/>
      <c r="M19" s="86" t="n"/>
      <c r="N19" s="86" t="n"/>
      <c r="O19" s="88" t="n"/>
      <c r="P19" s="85" t="n"/>
      <c r="Q19" s="86" t="n"/>
      <c r="R19" s="86" t="n"/>
      <c r="S19" s="88" t="n"/>
      <c r="T19" s="85" t="n"/>
      <c r="U19" s="116" t="n">
        <v>3</v>
      </c>
      <c r="V19" s="86" t="n"/>
      <c r="W19" s="86" t="n"/>
      <c r="X19" s="102" t="n">
        <v>2</v>
      </c>
      <c r="Y19" s="117" t="n">
        <v>3</v>
      </c>
      <c r="Z19" s="118" t="n">
        <v>3</v>
      </c>
      <c r="AA19" s="89" t="n">
        <v>2</v>
      </c>
      <c r="AB19" s="103" t="n">
        <v>3</v>
      </c>
      <c r="AC19" s="86" t="n"/>
      <c r="AD19" s="104" t="n">
        <v>2</v>
      </c>
      <c r="AE19" s="86" t="n"/>
      <c r="AF19" s="86" t="n"/>
      <c r="AG19" s="86" t="n"/>
      <c r="AH19" s="119" t="n">
        <v>3</v>
      </c>
      <c r="AI19" s="86" t="n"/>
      <c r="AJ19" s="86" t="n"/>
      <c r="AK19" s="86" t="n"/>
      <c r="AL19" s="88" t="n"/>
      <c r="AM19" s="85" t="n"/>
      <c r="AN19" s="88" t="n"/>
      <c r="AO19" s="85" t="n"/>
      <c r="AP19" s="86" t="n"/>
      <c r="AQ19" s="86" t="n"/>
      <c r="AR19" s="106" t="n">
        <v>2</v>
      </c>
      <c r="AS19" s="120" t="n">
        <v>3</v>
      </c>
      <c r="AT19" s="86" t="n"/>
      <c r="AU19" s="86" t="n"/>
      <c r="AV19" s="86" t="n"/>
      <c r="AW19" s="88" t="n"/>
      <c r="AX19" s="85" t="n"/>
      <c r="AY19" s="88" t="n"/>
      <c r="AZ19" s="85" t="n"/>
      <c r="BA19" s="121" t="n">
        <v>3</v>
      </c>
      <c r="BB19" s="86" t="n"/>
      <c r="BC19" s="107" t="n">
        <v>3</v>
      </c>
      <c r="BD19" s="85" t="n"/>
      <c r="BE19" s="88" t="n"/>
      <c r="BF19" s="85" t="n"/>
      <c r="BG19" s="86" t="n"/>
      <c r="BH19" s="86" t="n"/>
      <c r="BI19" s="88" t="n"/>
      <c r="BJ19" s="84" t="inlineStr">
        <is>
          <t>(441) Network Operations Specialist</t>
        </is>
      </c>
    </row>
    <row r="20" ht="14" customHeight="1">
      <c r="A20" s="122" t="inlineStr">
        <is>
          <t>(451) System Admin (req'd for admin access)</t>
        </is>
      </c>
      <c r="B20" s="97" t="n">
        <v>1</v>
      </c>
      <c r="C20" s="98" t="n">
        <v>1</v>
      </c>
      <c r="D20" s="108" t="n">
        <v>2</v>
      </c>
      <c r="E20" s="99" t="n">
        <v>2</v>
      </c>
      <c r="G20" s="96" t="n">
        <v>3</v>
      </c>
      <c r="H20" s="82" t="n"/>
      <c r="I20" s="79" t="n"/>
      <c r="J20" s="100" t="n">
        <v>1</v>
      </c>
      <c r="O20" s="82" t="n"/>
      <c r="P20" s="79" t="n"/>
      <c r="R20" s="101" t="n">
        <v>3</v>
      </c>
      <c r="S20" s="82" t="n"/>
      <c r="T20" s="79" t="n"/>
      <c r="X20" s="102" t="n">
        <v>2</v>
      </c>
      <c r="AB20" s="103" t="n">
        <v>3</v>
      </c>
      <c r="AD20" s="104" t="n">
        <v>2</v>
      </c>
      <c r="AL20" s="82" t="n"/>
      <c r="AM20" s="79" t="n"/>
      <c r="AN20" s="82" t="n"/>
      <c r="AO20" s="79" t="n"/>
      <c r="AR20" s="106" t="n">
        <v>2</v>
      </c>
      <c r="AS20" s="120" t="n">
        <v>3</v>
      </c>
      <c r="AW20" s="82" t="n"/>
      <c r="AX20" s="79" t="n"/>
      <c r="AY20" s="82" t="n"/>
      <c r="AZ20" s="79" t="n"/>
      <c r="BC20" s="107" t="n">
        <v>3</v>
      </c>
      <c r="BD20" s="79" t="n"/>
      <c r="BE20" s="82" t="n"/>
      <c r="BF20" s="79" t="n"/>
      <c r="BI20" s="82" t="n"/>
      <c r="BJ20" s="122" t="inlineStr">
        <is>
          <t>(451) System Admin (req'd for admin access)</t>
        </is>
      </c>
    </row>
    <row r="21" ht="14" customHeight="1">
      <c r="A21" s="84" t="inlineStr">
        <is>
          <t>(461) Systems Security Analyst</t>
        </is>
      </c>
      <c r="B21" s="85" t="n"/>
      <c r="C21" s="86" t="n"/>
      <c r="D21" s="108" t="n">
        <v>2</v>
      </c>
      <c r="E21" s="99" t="n">
        <v>2</v>
      </c>
      <c r="F21" s="86" t="n"/>
      <c r="G21" s="86" t="n"/>
      <c r="H21" s="80" t="n">
        <v>3</v>
      </c>
      <c r="I21" s="81" t="n">
        <v>3</v>
      </c>
      <c r="J21" s="100" t="n">
        <v>1</v>
      </c>
      <c r="K21" s="86" t="n"/>
      <c r="L21" s="86" t="n"/>
      <c r="M21" s="86" t="n"/>
      <c r="N21" s="86" t="n"/>
      <c r="O21" s="88" t="n"/>
      <c r="P21" s="85" t="n"/>
      <c r="Q21" s="86" t="n"/>
      <c r="R21" s="101" t="n">
        <v>3</v>
      </c>
      <c r="S21" s="88" t="n"/>
      <c r="T21" s="123" t="n">
        <v>2</v>
      </c>
      <c r="U21" s="86" t="n"/>
      <c r="V21" s="86" t="n"/>
      <c r="W21" s="86" t="n"/>
      <c r="X21" s="102" t="n">
        <v>2</v>
      </c>
      <c r="Y21" s="117" t="n">
        <v>3</v>
      </c>
      <c r="Z21" s="86" t="n"/>
      <c r="AA21" s="86" t="n"/>
      <c r="AB21" s="86" t="n"/>
      <c r="AC21" s="124" t="n">
        <v>3</v>
      </c>
      <c r="AD21" s="104" t="n">
        <v>2</v>
      </c>
      <c r="AE21" s="125" t="n">
        <v>3</v>
      </c>
      <c r="AF21" s="86" t="n"/>
      <c r="AG21" s="86" t="n"/>
      <c r="AH21" s="86" t="n"/>
      <c r="AI21" s="86" t="n"/>
      <c r="AJ21" s="86" t="n"/>
      <c r="AK21" s="86" t="n"/>
      <c r="AL21" s="88" t="n"/>
      <c r="AM21" s="85" t="n"/>
      <c r="AN21" s="88" t="n"/>
      <c r="AO21" s="85" t="n"/>
      <c r="AP21" s="86" t="n"/>
      <c r="AQ21" s="86" t="n"/>
      <c r="AR21" s="106" t="n">
        <v>1</v>
      </c>
      <c r="AS21" s="120" t="n">
        <v>2</v>
      </c>
      <c r="AT21" s="86" t="n"/>
      <c r="AU21" s="86" t="n"/>
      <c r="AV21" s="111" t="n">
        <v>3</v>
      </c>
      <c r="AW21" s="88" t="n"/>
      <c r="AX21" s="85" t="n"/>
      <c r="AY21" s="88" t="n"/>
      <c r="AZ21" s="85" t="n"/>
      <c r="BA21" s="86" t="n"/>
      <c r="BB21" s="86" t="n"/>
      <c r="BC21" s="88" t="n"/>
      <c r="BD21" s="85" t="n"/>
      <c r="BE21" s="126" t="n">
        <v>3</v>
      </c>
      <c r="BF21" s="85" t="n"/>
      <c r="BG21" s="86" t="n"/>
      <c r="BH21" s="86" t="n"/>
      <c r="BI21" s="88" t="n"/>
      <c r="BJ21" s="84" t="inlineStr">
        <is>
          <t>(461) Systems Security Analyst</t>
        </is>
      </c>
    </row>
    <row r="22" ht="14" customHeight="1">
      <c r="A22" s="3" t="inlineStr">
        <is>
          <t>(511) Cyber Defense Analyst</t>
        </is>
      </c>
      <c r="B22" s="79" t="n"/>
      <c r="D22" s="108" t="n">
        <v>2</v>
      </c>
      <c r="E22" s="99" t="n">
        <v>2</v>
      </c>
      <c r="F22" s="87" t="n">
        <v>2</v>
      </c>
      <c r="H22" s="80" t="n">
        <v>3</v>
      </c>
      <c r="I22" s="79" t="n"/>
      <c r="J22" s="79" t="n"/>
      <c r="K22" s="115" t="n">
        <v>1</v>
      </c>
      <c r="L22" s="127" t="n">
        <v>2</v>
      </c>
      <c r="O22" s="82" t="n"/>
      <c r="P22" s="79" t="n"/>
      <c r="R22" s="101" t="n">
        <v>2</v>
      </c>
      <c r="S22" s="82" t="n"/>
      <c r="T22" s="123" t="n">
        <v>1</v>
      </c>
      <c r="U22" s="116" t="n">
        <v>2</v>
      </c>
      <c r="V22" s="128" t="n">
        <v>2</v>
      </c>
      <c r="W22" s="129" t="n">
        <v>2</v>
      </c>
      <c r="X22" s="102" t="n">
        <v>2</v>
      </c>
      <c r="Z22" s="118" t="n">
        <v>2</v>
      </c>
      <c r="AB22" s="103" t="n">
        <v>1</v>
      </c>
      <c r="AD22" s="104" t="n">
        <v>3</v>
      </c>
      <c r="AF22" s="92" t="n">
        <v>3</v>
      </c>
      <c r="AH22" s="119" t="n">
        <v>3</v>
      </c>
      <c r="AL22" s="82" t="n"/>
      <c r="AM22" s="79" t="n"/>
      <c r="AN22" s="82" t="n"/>
      <c r="AO22" s="130" t="n">
        <v>1</v>
      </c>
      <c r="AW22" s="82" t="n"/>
      <c r="AX22" s="79" t="n"/>
      <c r="AY22" s="94" t="n">
        <v>3</v>
      </c>
      <c r="AZ22" s="131" t="n">
        <v>3</v>
      </c>
      <c r="BC22" s="82" t="n"/>
      <c r="BD22" s="79" t="n"/>
      <c r="BE22" s="82" t="n"/>
      <c r="BF22" s="79" t="n"/>
      <c r="BI22" s="82" t="n"/>
      <c r="BJ22" s="3" t="inlineStr">
        <is>
          <t>(511) Cyber Defense Analyst</t>
        </is>
      </c>
    </row>
    <row r="23" ht="14" customHeight="1">
      <c r="A23" s="84" t="inlineStr">
        <is>
          <t>(521) Cyber Defense Infrastructure Support Specialist</t>
        </is>
      </c>
      <c r="B23" s="97" t="n">
        <v>1</v>
      </c>
      <c r="C23" s="98" t="n">
        <v>1</v>
      </c>
      <c r="D23" s="108" t="n">
        <v>2</v>
      </c>
      <c r="E23" s="99" t="n">
        <v>2</v>
      </c>
      <c r="F23" s="87" t="n">
        <v>2</v>
      </c>
      <c r="G23" s="86" t="n"/>
      <c r="H23" s="80" t="n">
        <v>2</v>
      </c>
      <c r="I23" s="85" t="n"/>
      <c r="J23" s="100" t="n">
        <v>1</v>
      </c>
      <c r="K23" s="115" t="n">
        <v>2</v>
      </c>
      <c r="L23" s="86" t="n"/>
      <c r="M23" s="86" t="n"/>
      <c r="N23" s="86" t="n"/>
      <c r="O23" s="88" t="n"/>
      <c r="P23" s="85" t="n"/>
      <c r="Q23" s="86" t="n"/>
      <c r="R23" s="86" t="n"/>
      <c r="S23" s="88" t="n"/>
      <c r="T23" s="85" t="n"/>
      <c r="U23" s="116" t="n">
        <v>1</v>
      </c>
      <c r="V23" s="128" t="n">
        <v>2</v>
      </c>
      <c r="W23" s="129" t="n">
        <v>2</v>
      </c>
      <c r="X23" s="102" t="n">
        <v>2</v>
      </c>
      <c r="Y23" s="117" t="n">
        <v>1</v>
      </c>
      <c r="Z23" s="86" t="n"/>
      <c r="AA23" s="86" t="n"/>
      <c r="AB23" s="103" t="n">
        <v>1</v>
      </c>
      <c r="AC23" s="86" t="n"/>
      <c r="AD23" s="104" t="n">
        <v>3</v>
      </c>
      <c r="AE23" s="86" t="n"/>
      <c r="AF23" s="86" t="n"/>
      <c r="AG23" s="86" t="n"/>
      <c r="AH23" s="119" t="n">
        <v>3</v>
      </c>
      <c r="AI23" s="86" t="n"/>
      <c r="AJ23" s="86" t="n"/>
      <c r="AK23" s="86" t="n"/>
      <c r="AL23" s="88" t="n"/>
      <c r="AM23" s="85" t="n"/>
      <c r="AN23" s="88" t="n"/>
      <c r="AO23" s="130" t="n">
        <v>1</v>
      </c>
      <c r="AP23" s="86" t="n"/>
      <c r="AQ23" s="86" t="n"/>
      <c r="AR23" s="106" t="n">
        <v>2</v>
      </c>
      <c r="AS23" s="86" t="n"/>
      <c r="AT23" s="86" t="n"/>
      <c r="AU23" s="110" t="n">
        <v>3</v>
      </c>
      <c r="AV23" s="111" t="n">
        <v>3</v>
      </c>
      <c r="AW23" s="88" t="n"/>
      <c r="AX23" s="85" t="n"/>
      <c r="AY23" s="88" t="n"/>
      <c r="AZ23" s="85" t="n"/>
      <c r="BA23" s="86" t="n"/>
      <c r="BB23" s="86" t="n"/>
      <c r="BC23" s="88" t="n"/>
      <c r="BD23" s="85" t="n"/>
      <c r="BE23" s="88" t="n"/>
      <c r="BF23" s="85" t="n"/>
      <c r="BG23" s="86" t="n"/>
      <c r="BH23" s="86" t="n"/>
      <c r="BI23" s="88" t="n"/>
      <c r="BJ23" s="84" t="inlineStr">
        <is>
          <t>(521) Cyber Defense Infrastructure Support Specialist</t>
        </is>
      </c>
    </row>
    <row r="24" ht="14" customHeight="1">
      <c r="A24" s="3" t="inlineStr">
        <is>
          <t>(531) Cyber Defense Incident Responder</t>
        </is>
      </c>
      <c r="B24" s="79" t="n"/>
      <c r="D24" s="108" t="n">
        <v>2</v>
      </c>
      <c r="E24" s="99" t="n">
        <v>2</v>
      </c>
      <c r="F24" s="87" t="n">
        <v>2</v>
      </c>
      <c r="H24" s="80" t="n">
        <v>3</v>
      </c>
      <c r="I24" s="81" t="n">
        <v>2</v>
      </c>
      <c r="J24" s="79" t="n"/>
      <c r="K24" s="115" t="n">
        <v>2</v>
      </c>
      <c r="L24" s="127" t="n">
        <v>2</v>
      </c>
      <c r="N24" s="132" t="n">
        <v>2</v>
      </c>
      <c r="O24" s="82" t="n"/>
      <c r="P24" s="79" t="n"/>
      <c r="R24" s="101" t="n">
        <v>2</v>
      </c>
      <c r="S24" s="82" t="n"/>
      <c r="T24" s="123" t="n">
        <v>1</v>
      </c>
      <c r="U24" s="116" t="n">
        <v>1</v>
      </c>
      <c r="W24" s="129" t="n">
        <v>2</v>
      </c>
      <c r="X24" s="102" t="n">
        <v>2</v>
      </c>
      <c r="Z24" s="118" t="n">
        <v>2</v>
      </c>
      <c r="AA24" s="89" t="n">
        <v>2</v>
      </c>
      <c r="AD24" s="104" t="n">
        <v>3</v>
      </c>
      <c r="AF24" s="92" t="n">
        <v>3</v>
      </c>
      <c r="AH24" s="119" t="n">
        <v>3</v>
      </c>
      <c r="AL24" s="82" t="n"/>
      <c r="AM24" s="79" t="n"/>
      <c r="AN24" s="82" t="n"/>
      <c r="AO24" s="130" t="n">
        <v>1</v>
      </c>
      <c r="AS24" s="120" t="n">
        <v>2</v>
      </c>
      <c r="AW24" s="82" t="n"/>
      <c r="AX24" s="79" t="n"/>
      <c r="AY24" s="94" t="n">
        <v>3</v>
      </c>
      <c r="AZ24" s="131" t="n">
        <v>2</v>
      </c>
      <c r="BC24" s="82" t="n"/>
      <c r="BD24" s="79" t="n"/>
      <c r="BE24" s="82" t="n"/>
      <c r="BF24" s="79" t="n"/>
      <c r="BI24" s="82" t="n"/>
      <c r="BJ24" s="3" t="inlineStr">
        <is>
          <t>(531) Cyber Defense Incident Responder</t>
        </is>
      </c>
    </row>
    <row r="25" ht="14" customHeight="1">
      <c r="A25" s="84" t="inlineStr">
        <is>
          <t>(541) Vulnerability Assessment Analyst</t>
        </is>
      </c>
      <c r="B25" s="85" t="n"/>
      <c r="C25" s="86" t="n"/>
      <c r="D25" s="108" t="n">
        <v>2</v>
      </c>
      <c r="E25" s="99" t="n">
        <v>2</v>
      </c>
      <c r="F25" s="87" t="n">
        <v>2</v>
      </c>
      <c r="G25" s="86" t="n"/>
      <c r="H25" s="80" t="n">
        <v>3</v>
      </c>
      <c r="I25" s="81" t="n">
        <v>2</v>
      </c>
      <c r="J25" s="85" t="n"/>
      <c r="K25" s="115" t="n">
        <v>1</v>
      </c>
      <c r="L25" s="127" t="n">
        <v>2</v>
      </c>
      <c r="M25" s="86" t="n"/>
      <c r="N25" s="86" t="n"/>
      <c r="O25" s="88" t="n"/>
      <c r="P25" s="85" t="n"/>
      <c r="Q25" s="133" t="n">
        <v>2</v>
      </c>
      <c r="R25" s="86" t="n"/>
      <c r="S25" s="88" t="n"/>
      <c r="T25" s="85" t="n"/>
      <c r="U25" s="86" t="n"/>
      <c r="V25" s="86" t="n"/>
      <c r="W25" s="86" t="n"/>
      <c r="X25" s="102" t="n">
        <v>2</v>
      </c>
      <c r="Y25" s="86" t="n"/>
      <c r="Z25" s="118" t="n">
        <v>2</v>
      </c>
      <c r="AA25" s="89" t="n">
        <v>2</v>
      </c>
      <c r="AB25" s="86" t="n"/>
      <c r="AC25" s="124" t="n">
        <v>2</v>
      </c>
      <c r="AD25" s="104" t="n">
        <v>2</v>
      </c>
      <c r="AE25" s="125" t="n">
        <v>3</v>
      </c>
      <c r="AF25" s="86" t="n"/>
      <c r="AG25" s="86" t="n"/>
      <c r="AH25" s="86" t="n"/>
      <c r="AI25" s="86" t="n"/>
      <c r="AJ25" s="90" t="n">
        <v>3</v>
      </c>
      <c r="AK25" s="86" t="n"/>
      <c r="AL25" s="88" t="n"/>
      <c r="AM25" s="105" t="n">
        <v>3</v>
      </c>
      <c r="AN25" s="114" t="n">
        <v>3</v>
      </c>
      <c r="AO25" s="85" t="n"/>
      <c r="AP25" s="86" t="n"/>
      <c r="AQ25" s="86" t="n"/>
      <c r="AR25" s="86" t="n"/>
      <c r="AS25" s="86" t="n"/>
      <c r="AT25" s="86" t="n"/>
      <c r="AU25" s="86" t="n"/>
      <c r="AV25" s="86" t="n"/>
      <c r="AW25" s="88" t="n"/>
      <c r="AX25" s="85" t="n"/>
      <c r="AY25" s="94" t="n">
        <v>3</v>
      </c>
      <c r="AZ25" s="85" t="n"/>
      <c r="BA25" s="86" t="n"/>
      <c r="BB25" s="86" t="n"/>
      <c r="BC25" s="88" t="n"/>
      <c r="BD25" s="134" t="n">
        <v>2</v>
      </c>
      <c r="BE25" s="88" t="n"/>
      <c r="BF25" s="85" t="n"/>
      <c r="BG25" s="86" t="n"/>
      <c r="BH25" s="86" t="n"/>
      <c r="BI25" s="88" t="n"/>
      <c r="BJ25" s="84" t="inlineStr">
        <is>
          <t>(541) Vulnerability Assessment Analyst</t>
        </is>
      </c>
    </row>
    <row r="26" ht="14" customHeight="1">
      <c r="A26" s="3" t="inlineStr">
        <is>
          <t>(611) Authorizing Official/Designated Representative</t>
        </is>
      </c>
      <c r="B26" s="79" t="n"/>
      <c r="D26" s="108" t="n">
        <v>2</v>
      </c>
      <c r="H26" s="82" t="n"/>
      <c r="I26" s="79" t="n"/>
      <c r="J26" s="79" t="n"/>
      <c r="O26" s="112" t="n">
        <v>3</v>
      </c>
      <c r="P26" s="79" t="n"/>
      <c r="S26" s="135" t="n">
        <v>3</v>
      </c>
      <c r="T26" s="79" t="n"/>
      <c r="X26" s="102" t="n">
        <v>2</v>
      </c>
      <c r="AC26" s="124" t="n">
        <v>3</v>
      </c>
      <c r="AL26" s="113" t="n">
        <v>3</v>
      </c>
      <c r="AM26" s="79" t="n"/>
      <c r="AN26" s="114" t="n">
        <v>3</v>
      </c>
      <c r="AO26" s="79" t="n"/>
      <c r="AP26" s="136" t="n">
        <v>2</v>
      </c>
      <c r="AS26" s="120" t="n">
        <v>2</v>
      </c>
      <c r="AT26" s="109" t="n">
        <v>3</v>
      </c>
      <c r="AV26" s="111" t="n">
        <v>3</v>
      </c>
      <c r="AW26" s="137" t="n">
        <v>3</v>
      </c>
      <c r="AX26" s="79" t="n"/>
      <c r="AY26" s="82" t="n"/>
      <c r="AZ26" s="79" t="n"/>
      <c r="BC26" s="82" t="n"/>
      <c r="BD26" s="79" t="n"/>
      <c r="BE26" s="82" t="n"/>
      <c r="BF26" s="79" t="n"/>
      <c r="BI26" s="82" t="n"/>
      <c r="BJ26" s="3" t="inlineStr">
        <is>
          <t>(611) Authorizing Official/Designated Representative</t>
        </is>
      </c>
    </row>
    <row r="27" ht="14" customHeight="1">
      <c r="A27" s="84" t="inlineStr">
        <is>
          <t>(612) Security Control Assessor</t>
        </is>
      </c>
      <c r="B27" s="85" t="n"/>
      <c r="C27" s="86" t="n"/>
      <c r="D27" s="108" t="n">
        <v>2</v>
      </c>
      <c r="E27" s="99" t="n">
        <v>2</v>
      </c>
      <c r="F27" s="87" t="n">
        <v>2</v>
      </c>
      <c r="G27" s="96" t="n">
        <v>2</v>
      </c>
      <c r="H27" s="80" t="n">
        <v>3</v>
      </c>
      <c r="I27" s="85" t="n"/>
      <c r="J27" s="85" t="n"/>
      <c r="K27" s="86" t="n"/>
      <c r="L27" s="86" t="n"/>
      <c r="M27" s="86" t="n"/>
      <c r="N27" s="86" t="n"/>
      <c r="O27" s="112" t="n">
        <v>3</v>
      </c>
      <c r="P27" s="85" t="n"/>
      <c r="Q27" s="133" t="n">
        <v>2</v>
      </c>
      <c r="R27" s="86" t="n"/>
      <c r="S27" s="88" t="n"/>
      <c r="T27" s="85" t="n"/>
      <c r="U27" s="86" t="n"/>
      <c r="V27" s="86" t="n"/>
      <c r="W27" s="86" t="n"/>
      <c r="X27" s="102" t="n">
        <v>2</v>
      </c>
      <c r="Y27" s="86" t="n"/>
      <c r="Z27" s="86" t="n"/>
      <c r="AA27" s="86" t="n"/>
      <c r="AB27" s="86" t="n"/>
      <c r="AC27" s="124" t="n">
        <v>2</v>
      </c>
      <c r="AD27" s="86" t="n"/>
      <c r="AE27" s="125" t="n">
        <v>3</v>
      </c>
      <c r="AF27" s="86" t="n"/>
      <c r="AG27" s="86" t="n"/>
      <c r="AH27" s="86" t="n"/>
      <c r="AI27" s="86" t="n"/>
      <c r="AJ27" s="86" t="n"/>
      <c r="AK27" s="86" t="n"/>
      <c r="AL27" s="113" t="n">
        <v>3</v>
      </c>
      <c r="AM27" s="105" t="n">
        <v>3</v>
      </c>
      <c r="AN27" s="114" t="n">
        <v>3</v>
      </c>
      <c r="AO27" s="85" t="n"/>
      <c r="AP27" s="136" t="n">
        <v>2</v>
      </c>
      <c r="AQ27" s="86" t="n"/>
      <c r="AR27" s="86" t="n"/>
      <c r="AS27" s="86" t="n"/>
      <c r="AT27" s="109" t="n">
        <v>3</v>
      </c>
      <c r="AU27" s="86" t="n"/>
      <c r="AV27" s="111" t="n">
        <v>3</v>
      </c>
      <c r="AW27" s="88" t="n"/>
      <c r="AX27" s="85" t="n"/>
      <c r="AY27" s="88" t="n"/>
      <c r="AZ27" s="85" t="n"/>
      <c r="BA27" s="86" t="n"/>
      <c r="BB27" s="86" t="n"/>
      <c r="BC27" s="88" t="n"/>
      <c r="BD27" s="85" t="n"/>
      <c r="BE27" s="126" t="n">
        <v>2</v>
      </c>
      <c r="BF27" s="85" t="n"/>
      <c r="BG27" s="86" t="n"/>
      <c r="BH27" s="86" t="n"/>
      <c r="BI27" s="88" t="n"/>
      <c r="BJ27" s="84" t="inlineStr">
        <is>
          <t>(612) Security Control Assessor</t>
        </is>
      </c>
    </row>
    <row r="28" ht="14" customHeight="1">
      <c r="A28" s="3" t="inlineStr">
        <is>
          <t>(621) Software Developer</t>
        </is>
      </c>
      <c r="B28" s="79" t="n"/>
      <c r="H28" s="82" t="n"/>
      <c r="I28" s="79" t="n"/>
      <c r="J28" s="79" t="n"/>
      <c r="O28" s="82" t="n"/>
      <c r="P28" s="79" t="n"/>
      <c r="S28" s="82" t="n"/>
      <c r="T28" s="79" t="n"/>
      <c r="X28" s="102" t="n">
        <v>2</v>
      </c>
      <c r="AL28" s="82" t="n"/>
      <c r="AM28" s="79" t="n"/>
      <c r="AN28" s="82" t="n"/>
      <c r="AO28" s="79" t="n"/>
      <c r="AQ28" s="138" t="n">
        <v>2</v>
      </c>
      <c r="AU28" s="110" t="n">
        <v>3</v>
      </c>
      <c r="AW28" s="82" t="n"/>
      <c r="AX28" s="79" t="n"/>
      <c r="AY28" s="82" t="n"/>
      <c r="AZ28" s="79" t="n"/>
      <c r="BC28" s="82" t="n"/>
      <c r="BD28" s="79" t="n"/>
      <c r="BE28" s="82" t="n"/>
      <c r="BF28" s="79" t="n"/>
      <c r="BI28" s="82" t="n"/>
      <c r="BJ28" s="3" t="inlineStr">
        <is>
          <t>(621) Software Developer</t>
        </is>
      </c>
    </row>
    <row r="29" ht="14" customHeight="1">
      <c r="A29" s="84" t="inlineStr">
        <is>
          <t>(622) Secure Software Assessor</t>
        </is>
      </c>
      <c r="B29" s="85" t="n"/>
      <c r="C29" s="86" t="n"/>
      <c r="D29" s="86" t="n"/>
      <c r="E29" s="99" t="n">
        <v>2</v>
      </c>
      <c r="F29" s="86" t="n"/>
      <c r="G29" s="86" t="n"/>
      <c r="H29" s="88" t="n"/>
      <c r="I29" s="85" t="n"/>
      <c r="J29" s="85" t="n"/>
      <c r="K29" s="86" t="n"/>
      <c r="L29" s="86" t="n"/>
      <c r="M29" s="86" t="n"/>
      <c r="N29" s="86" t="n"/>
      <c r="O29" s="88" t="n"/>
      <c r="P29" s="85" t="n"/>
      <c r="Q29" s="86" t="n"/>
      <c r="R29" s="86" t="n"/>
      <c r="S29" s="88" t="n"/>
      <c r="T29" s="85" t="n"/>
      <c r="U29" s="86" t="n"/>
      <c r="V29" s="86" t="n"/>
      <c r="W29" s="86" t="n"/>
      <c r="X29" s="102" t="n">
        <v>2</v>
      </c>
      <c r="Y29" s="117" t="n">
        <v>1</v>
      </c>
      <c r="Z29" s="86" t="n"/>
      <c r="AA29" s="86" t="n"/>
      <c r="AB29" s="86" t="n"/>
      <c r="AC29" s="124" t="n">
        <v>2</v>
      </c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8" t="n"/>
      <c r="AM29" s="85" t="n"/>
      <c r="AN29" s="88" t="n"/>
      <c r="AO29" s="85" t="n"/>
      <c r="AP29" s="86" t="n"/>
      <c r="AQ29" s="138" t="n">
        <v>2</v>
      </c>
      <c r="AR29" s="86" t="n"/>
      <c r="AS29" s="86" t="n"/>
      <c r="AT29" s="86" t="n"/>
      <c r="AU29" s="86" t="n"/>
      <c r="AV29" s="111" t="n">
        <v>3</v>
      </c>
      <c r="AW29" s="88" t="n"/>
      <c r="AX29" s="139" t="n">
        <v>2</v>
      </c>
      <c r="AY29" s="88" t="n"/>
      <c r="AZ29" s="85" t="n"/>
      <c r="BA29" s="86" t="n"/>
      <c r="BB29" s="86" t="n"/>
      <c r="BC29" s="88" t="n"/>
      <c r="BD29" s="85" t="n"/>
      <c r="BE29" s="88" t="n"/>
      <c r="BF29" s="85" t="n"/>
      <c r="BG29" s="86" t="n"/>
      <c r="BH29" s="86" t="n"/>
      <c r="BI29" s="88" t="n"/>
      <c r="BJ29" s="84" t="inlineStr">
        <is>
          <t>(622) Secure Software Assessor</t>
        </is>
      </c>
    </row>
    <row r="30" ht="14" customHeight="1">
      <c r="A30" s="3" t="inlineStr">
        <is>
          <t>(631) Information Systems Security Developer</t>
        </is>
      </c>
      <c r="B30" s="79" t="n"/>
      <c r="D30" s="108" t="n">
        <v>2</v>
      </c>
      <c r="G30" s="96" t="n">
        <v>2</v>
      </c>
      <c r="H30" s="82" t="n"/>
      <c r="I30" s="79" t="n"/>
      <c r="J30" s="100" t="n">
        <v>1</v>
      </c>
      <c r="O30" s="82" t="n"/>
      <c r="P30" s="140" t="n">
        <v>3</v>
      </c>
      <c r="S30" s="82" t="n"/>
      <c r="T30" s="123" t="n">
        <v>1</v>
      </c>
      <c r="X30" s="102" t="n">
        <v>2</v>
      </c>
      <c r="Y30" s="117" t="n">
        <v>2</v>
      </c>
      <c r="AC30" s="124" t="n">
        <v>2</v>
      </c>
      <c r="AL30" s="82" t="n"/>
      <c r="AM30" s="79" t="n"/>
      <c r="AN30" s="82" t="n"/>
      <c r="AO30" s="130" t="n">
        <v>1</v>
      </c>
      <c r="AR30" s="106" t="n">
        <v>1</v>
      </c>
      <c r="AS30" s="120" t="n">
        <v>2</v>
      </c>
      <c r="AV30" s="111" t="n">
        <v>3</v>
      </c>
      <c r="AW30" s="82" t="n"/>
      <c r="AX30" s="139" t="n">
        <v>2</v>
      </c>
      <c r="AY30" s="82" t="n"/>
      <c r="AZ30" s="79" t="n"/>
      <c r="BC30" s="82" t="n"/>
      <c r="BD30" s="79" t="n"/>
      <c r="BE30" s="82" t="n"/>
      <c r="BF30" s="79" t="n"/>
      <c r="BI30" s="82" t="n"/>
      <c r="BJ30" s="3" t="inlineStr">
        <is>
          <t>(631) Information Systems Security Developer</t>
        </is>
      </c>
    </row>
    <row r="31" ht="14" customHeight="1">
      <c r="A31" s="84" t="inlineStr">
        <is>
          <t>(632) Systems Developer</t>
        </is>
      </c>
      <c r="B31" s="85" t="n"/>
      <c r="C31" s="86" t="n"/>
      <c r="D31" s="86" t="n"/>
      <c r="E31" s="86" t="n"/>
      <c r="F31" s="86" t="n"/>
      <c r="G31" s="86" t="n"/>
      <c r="H31" s="88" t="n"/>
      <c r="I31" s="85" t="n"/>
      <c r="J31" s="100" t="n">
        <v>1</v>
      </c>
      <c r="K31" s="86" t="n"/>
      <c r="L31" s="86" t="n"/>
      <c r="M31" s="86" t="n"/>
      <c r="N31" s="86" t="n"/>
      <c r="O31" s="88" t="n"/>
      <c r="P31" s="140" t="n">
        <v>3</v>
      </c>
      <c r="Q31" s="86" t="n"/>
      <c r="R31" s="86" t="n"/>
      <c r="S31" s="88" t="n"/>
      <c r="T31" s="123" t="n">
        <v>3</v>
      </c>
      <c r="U31" s="86" t="n"/>
      <c r="V31" s="86" t="n"/>
      <c r="W31" s="86" t="n"/>
      <c r="X31" s="102" t="n">
        <v>2</v>
      </c>
      <c r="Y31" s="117" t="n">
        <v>2</v>
      </c>
      <c r="Z31" s="86" t="n"/>
      <c r="AA31" s="86" t="n"/>
      <c r="AB31" s="86" t="n"/>
      <c r="AC31" s="124" t="n">
        <v>3</v>
      </c>
      <c r="AD31" s="86" t="n"/>
      <c r="AE31" s="86" t="n"/>
      <c r="AF31" s="86" t="n"/>
      <c r="AG31" s="86" t="n"/>
      <c r="AH31" s="86" t="n"/>
      <c r="AI31" s="86" t="n"/>
      <c r="AJ31" s="86" t="n"/>
      <c r="AK31" s="86" t="n"/>
      <c r="AL31" s="88" t="n"/>
      <c r="AM31" s="85" t="n"/>
      <c r="AN31" s="88" t="n"/>
      <c r="AO31" s="85" t="n"/>
      <c r="AP31" s="86" t="n"/>
      <c r="AQ31" s="138" t="n">
        <v>2</v>
      </c>
      <c r="AR31" s="106" t="n">
        <v>3</v>
      </c>
      <c r="AS31" s="86" t="n"/>
      <c r="AT31" s="86" t="n"/>
      <c r="AU31" s="86" t="n"/>
      <c r="AV31" s="86" t="n"/>
      <c r="AW31" s="88" t="n"/>
      <c r="AX31" s="85" t="n"/>
      <c r="AY31" s="88" t="n"/>
      <c r="AZ31" s="85" t="n"/>
      <c r="BA31" s="86" t="n"/>
      <c r="BB31" s="86" t="n"/>
      <c r="BC31" s="88" t="n"/>
      <c r="BD31" s="85" t="n"/>
      <c r="BE31" s="88" t="n"/>
      <c r="BF31" s="85" t="n"/>
      <c r="BG31" s="86" t="n"/>
      <c r="BH31" s="86" t="n"/>
      <c r="BI31" s="88" t="n"/>
      <c r="BJ31" s="84" t="inlineStr">
        <is>
          <t>(632) Systems Developer</t>
        </is>
      </c>
    </row>
    <row r="32" ht="14" customHeight="1">
      <c r="A32" s="3" t="inlineStr">
        <is>
          <t>(641) Systems Requirements Planner</t>
        </is>
      </c>
      <c r="B32" s="79" t="n"/>
      <c r="E32" s="99" t="n">
        <v>2</v>
      </c>
      <c r="G32" s="96" t="n">
        <v>3</v>
      </c>
      <c r="H32" s="82" t="n"/>
      <c r="I32" s="79" t="n"/>
      <c r="J32" s="100" t="n">
        <v>1</v>
      </c>
      <c r="O32" s="82" t="n"/>
      <c r="P32" s="79" t="n"/>
      <c r="S32" s="135" t="n">
        <v>2</v>
      </c>
      <c r="T32" s="79" t="n"/>
      <c r="X32" s="102" t="n">
        <v>2</v>
      </c>
      <c r="AC32" s="124" t="n">
        <v>3</v>
      </c>
      <c r="AL32" s="113" t="n">
        <v>3</v>
      </c>
      <c r="AM32" s="79" t="n"/>
      <c r="AN32" s="82" t="n"/>
      <c r="AO32" s="79" t="n"/>
      <c r="AR32" s="106" t="n">
        <v>2</v>
      </c>
      <c r="AS32" s="120" t="n">
        <v>2</v>
      </c>
      <c r="AW32" s="82" t="n"/>
      <c r="AX32" s="79" t="n"/>
      <c r="AY32" s="94" t="n">
        <v>2</v>
      </c>
      <c r="AZ32" s="79" t="n"/>
      <c r="BC32" s="82" t="n"/>
      <c r="BD32" s="79" t="n"/>
      <c r="BE32" s="82" t="n"/>
      <c r="BF32" s="79" t="n"/>
      <c r="BI32" s="82" t="n"/>
      <c r="BJ32" s="3" t="inlineStr">
        <is>
          <t>(641) Systems Requirements Planner</t>
        </is>
      </c>
    </row>
    <row r="33" ht="14" customHeight="1">
      <c r="A33" s="84" t="inlineStr">
        <is>
          <t>(651) Enterprise Architect</t>
        </is>
      </c>
      <c r="B33" s="85" t="n"/>
      <c r="C33" s="86" t="n"/>
      <c r="D33" s="108" t="n">
        <v>2</v>
      </c>
      <c r="E33" s="86" t="n"/>
      <c r="F33" s="86" t="n"/>
      <c r="G33" s="96" t="n">
        <v>2</v>
      </c>
      <c r="H33" s="88" t="n"/>
      <c r="I33" s="85" t="n"/>
      <c r="J33" s="100" t="n">
        <v>1</v>
      </c>
      <c r="K33" s="86" t="n"/>
      <c r="L33" s="86" t="n"/>
      <c r="M33" s="86" t="n"/>
      <c r="N33" s="86" t="n"/>
      <c r="O33" s="88" t="n"/>
      <c r="P33" s="140" t="n">
        <v>2</v>
      </c>
      <c r="Q33" s="86" t="n"/>
      <c r="R33" s="86" t="n"/>
      <c r="S33" s="88" t="n"/>
      <c r="T33" s="85" t="n"/>
      <c r="U33" s="116" t="n">
        <v>2</v>
      </c>
      <c r="V33" s="86" t="n"/>
      <c r="W33" s="86" t="n"/>
      <c r="X33" s="102" t="n">
        <v>2</v>
      </c>
      <c r="Y33" s="117" t="n">
        <v>3</v>
      </c>
      <c r="Z33" s="86" t="n"/>
      <c r="AA33" s="86" t="n"/>
      <c r="AB33" s="86" t="n"/>
      <c r="AC33" s="124" t="n">
        <v>3</v>
      </c>
      <c r="AD33" s="104" t="n">
        <v>3</v>
      </c>
      <c r="AE33" s="86" t="n"/>
      <c r="AF33" s="86" t="n"/>
      <c r="AG33" s="86" t="n"/>
      <c r="AH33" s="119" t="n">
        <v>3</v>
      </c>
      <c r="AI33" s="86" t="n"/>
      <c r="AJ33" s="86" t="n"/>
      <c r="AK33" s="86" t="n"/>
      <c r="AL33" s="88" t="n"/>
      <c r="AM33" s="85" t="n"/>
      <c r="AN33" s="88" t="n"/>
      <c r="AO33" s="85" t="n"/>
      <c r="AP33" s="86" t="n"/>
      <c r="AQ33" s="138" t="n">
        <v>2</v>
      </c>
      <c r="AR33" s="86" t="n"/>
      <c r="AS33" s="120" t="n">
        <v>2</v>
      </c>
      <c r="AT33" s="86" t="n"/>
      <c r="AU33" s="110" t="n">
        <v>3</v>
      </c>
      <c r="AV33" s="111" t="n">
        <v>3</v>
      </c>
      <c r="AW33" s="88" t="n"/>
      <c r="AX33" s="85" t="n"/>
      <c r="AY33" s="88" t="n"/>
      <c r="AZ33" s="85" t="n"/>
      <c r="BA33" s="86" t="n"/>
      <c r="BB33" s="86" t="n"/>
      <c r="BC33" s="88" t="n"/>
      <c r="BD33" s="85" t="n"/>
      <c r="BE33" s="126" t="n">
        <v>3</v>
      </c>
      <c r="BF33" s="85" t="n"/>
      <c r="BG33" s="86" t="n"/>
      <c r="BH33" s="86" t="n"/>
      <c r="BI33" s="88" t="n"/>
      <c r="BJ33" s="84" t="inlineStr">
        <is>
          <t>(651) Enterprise Architect</t>
        </is>
      </c>
    </row>
    <row r="34" ht="14" customHeight="1">
      <c r="A34" s="3" t="inlineStr">
        <is>
          <t>(652) Security Architect</t>
        </is>
      </c>
      <c r="B34" s="79" t="n"/>
      <c r="D34" s="108" t="n">
        <v>2</v>
      </c>
      <c r="G34" s="96" t="n">
        <v>2</v>
      </c>
      <c r="H34" s="82" t="n"/>
      <c r="I34" s="79" t="n"/>
      <c r="J34" s="79" t="n"/>
      <c r="O34" s="82" t="n"/>
      <c r="P34" s="140" t="n">
        <v>2</v>
      </c>
      <c r="S34" s="82" t="n"/>
      <c r="T34" s="123" t="n">
        <v>1</v>
      </c>
      <c r="U34" s="116" t="n">
        <v>3</v>
      </c>
      <c r="V34" s="128" t="n">
        <v>2</v>
      </c>
      <c r="X34" s="102" t="n">
        <v>2</v>
      </c>
      <c r="Y34" s="117" t="n">
        <v>1</v>
      </c>
      <c r="AC34" s="124" t="n">
        <v>2</v>
      </c>
      <c r="AD34" s="104" t="n">
        <v>3</v>
      </c>
      <c r="AH34" s="119" t="n">
        <v>3</v>
      </c>
      <c r="AL34" s="82" t="n"/>
      <c r="AM34" s="79" t="n"/>
      <c r="AN34" s="114" t="n">
        <v>3</v>
      </c>
      <c r="AO34" s="79" t="n"/>
      <c r="AQ34" s="138" t="n">
        <v>2</v>
      </c>
      <c r="AS34" s="120" t="n">
        <v>2</v>
      </c>
      <c r="AU34" s="110" t="n">
        <v>3</v>
      </c>
      <c r="AV34" s="111" t="n">
        <v>3</v>
      </c>
      <c r="AW34" s="82" t="n"/>
      <c r="AX34" s="79" t="n"/>
      <c r="AY34" s="82" t="n"/>
      <c r="AZ34" s="79" t="n"/>
      <c r="BB34" s="141" t="n">
        <v>3</v>
      </c>
      <c r="BC34" s="82" t="n"/>
      <c r="BD34" s="79" t="n"/>
      <c r="BE34" s="126" t="n">
        <v>2</v>
      </c>
      <c r="BF34" s="79" t="n"/>
      <c r="BI34" s="82" t="n"/>
      <c r="BJ34" s="3" t="inlineStr">
        <is>
          <t>(652) Security Architect</t>
        </is>
      </c>
    </row>
    <row r="35" ht="14" customHeight="1">
      <c r="A35" s="84" t="inlineStr">
        <is>
          <t>(661) Research &amp; Development Specialist</t>
        </is>
      </c>
      <c r="B35" s="85" t="n"/>
      <c r="C35" s="86" t="n"/>
      <c r="D35" s="86" t="n"/>
      <c r="E35" s="99" t="n">
        <v>2</v>
      </c>
      <c r="F35" s="86" t="n"/>
      <c r="G35" s="96" t="n">
        <v>3</v>
      </c>
      <c r="H35" s="88" t="n"/>
      <c r="I35" s="81" t="n">
        <v>3</v>
      </c>
      <c r="J35" s="85" t="n"/>
      <c r="K35" s="115" t="n">
        <v>3</v>
      </c>
      <c r="L35" s="86" t="n"/>
      <c r="M35" s="86" t="n"/>
      <c r="N35" s="86" t="n"/>
      <c r="O35" s="88" t="n"/>
      <c r="P35" s="85" t="n"/>
      <c r="Q35" s="86" t="n"/>
      <c r="R35" s="86" t="n"/>
      <c r="S35" s="88" t="n"/>
      <c r="T35" s="85" t="n"/>
      <c r="U35" s="86" t="n"/>
      <c r="V35" s="86" t="n"/>
      <c r="W35" s="86" t="n"/>
      <c r="X35" s="86" t="n"/>
      <c r="Y35" s="117" t="n">
        <v>3</v>
      </c>
      <c r="Z35" s="86" t="n"/>
      <c r="AA35" s="86" t="n"/>
      <c r="AB35" s="86" t="n"/>
      <c r="AC35" s="86" t="n"/>
      <c r="AD35" s="86" t="n"/>
      <c r="AE35" s="86" t="n"/>
      <c r="AF35" s="86" t="n"/>
      <c r="AG35" s="86" t="n"/>
      <c r="AH35" s="86" t="n"/>
      <c r="AI35" s="86" t="n"/>
      <c r="AJ35" s="86" t="n"/>
      <c r="AK35" s="86" t="n"/>
      <c r="AL35" s="88" t="n"/>
      <c r="AM35" s="85" t="n"/>
      <c r="AN35" s="88" t="n"/>
      <c r="AO35" s="85" t="n"/>
      <c r="AP35" s="86" t="n"/>
      <c r="AQ35" s="86" t="n"/>
      <c r="AR35" s="86" t="n"/>
      <c r="AS35" s="86" t="n"/>
      <c r="AT35" s="86" t="n"/>
      <c r="AU35" s="86" t="n"/>
      <c r="AV35" s="86" t="n"/>
      <c r="AW35" s="88" t="n"/>
      <c r="AX35" s="85" t="n"/>
      <c r="AY35" s="88" t="n"/>
      <c r="AZ35" s="85" t="n"/>
      <c r="BA35" s="86" t="n"/>
      <c r="BB35" s="86" t="n"/>
      <c r="BC35" s="88" t="n"/>
      <c r="BD35" s="85" t="n"/>
      <c r="BE35" s="88" t="n"/>
      <c r="BF35" s="85" t="n"/>
      <c r="BG35" s="86" t="n"/>
      <c r="BH35" s="86" t="n"/>
      <c r="BI35" s="88" t="n"/>
      <c r="BJ35" s="84" t="inlineStr">
        <is>
          <t>(661) Research &amp; Development Specialist</t>
        </is>
      </c>
    </row>
    <row r="36" ht="14" customHeight="1">
      <c r="A36" s="3" t="inlineStr">
        <is>
          <t>(671) System Testing and Evaluation Specialist</t>
        </is>
      </c>
      <c r="B36" s="79" t="n"/>
      <c r="C36" s="98" t="n">
        <v>1</v>
      </c>
      <c r="D36" s="108" t="n">
        <v>2</v>
      </c>
      <c r="E36" s="99" t="n">
        <v>2</v>
      </c>
      <c r="F36" s="87" t="n">
        <v>2</v>
      </c>
      <c r="H36" s="82" t="n"/>
      <c r="I36" s="79" t="n"/>
      <c r="J36" s="100" t="n">
        <v>1</v>
      </c>
      <c r="K36" s="115" t="n">
        <v>2</v>
      </c>
      <c r="O36" s="82" t="n"/>
      <c r="P36" s="79" t="n"/>
      <c r="S36" s="82" t="n"/>
      <c r="T36" s="79" t="n"/>
      <c r="X36" s="102" t="n">
        <v>2</v>
      </c>
      <c r="AL36" s="82" t="n"/>
      <c r="AM36" s="79" t="n"/>
      <c r="AN36" s="82" t="n"/>
      <c r="AO36" s="79" t="n"/>
      <c r="AR36" s="106" t="n">
        <v>2</v>
      </c>
      <c r="AS36" s="120" t="n">
        <v>3</v>
      </c>
      <c r="AW36" s="82" t="n"/>
      <c r="AX36" s="79" t="n"/>
      <c r="AY36" s="94" t="n">
        <v>2</v>
      </c>
      <c r="AZ36" s="79" t="n"/>
      <c r="BC36" s="82" t="n"/>
      <c r="BD36" s="79" t="n"/>
      <c r="BE36" s="82" t="n"/>
      <c r="BF36" s="79" t="n"/>
      <c r="BI36" s="82" t="n"/>
      <c r="BJ36" s="3" t="inlineStr">
        <is>
          <t>(671) System Testing and Evaluation Specialist</t>
        </is>
      </c>
    </row>
    <row r="37" ht="14" customHeight="1">
      <c r="A37" s="84" t="inlineStr">
        <is>
          <t>(711) Cyber Instructional Curriculum Developer</t>
        </is>
      </c>
      <c r="B37" s="85" t="n"/>
      <c r="C37" s="86" t="n"/>
      <c r="D37" s="86" t="n"/>
      <c r="E37" s="86" t="n"/>
      <c r="F37" s="86" t="n"/>
      <c r="G37" s="86" t="n"/>
      <c r="H37" s="88" t="n"/>
      <c r="I37" s="85" t="n"/>
      <c r="J37" s="85" t="n"/>
      <c r="K37" s="86" t="n"/>
      <c r="L37" s="86" t="n"/>
      <c r="M37" s="86" t="n"/>
      <c r="N37" s="86" t="n"/>
      <c r="O37" s="88" t="n"/>
      <c r="P37" s="85" t="n"/>
      <c r="Q37" s="86" t="n"/>
      <c r="R37" s="86" t="n"/>
      <c r="S37" s="88" t="n"/>
      <c r="T37" s="85" t="n"/>
      <c r="U37" s="86" t="n"/>
      <c r="V37" s="86" t="n"/>
      <c r="W37" s="86" t="n"/>
      <c r="X37" s="102" t="n">
        <v>2</v>
      </c>
      <c r="Y37" s="86" t="n"/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6" t="n"/>
      <c r="AJ37" s="86" t="n"/>
      <c r="AK37" s="86" t="n"/>
      <c r="AL37" s="88" t="n"/>
      <c r="AM37" s="85" t="n"/>
      <c r="AN37" s="88" t="n"/>
      <c r="AO37" s="85" t="n"/>
      <c r="AP37" s="86" t="n"/>
      <c r="AQ37" s="86" t="n"/>
      <c r="AR37" s="86" t="n"/>
      <c r="AS37" s="86" t="n"/>
      <c r="AT37" s="86" t="n"/>
      <c r="AU37" s="86" t="n"/>
      <c r="AV37" s="86" t="n"/>
      <c r="AW37" s="88" t="n"/>
      <c r="AX37" s="85" t="n"/>
      <c r="AY37" s="88" t="n"/>
      <c r="AZ37" s="85" t="n"/>
      <c r="BA37" s="86" t="n"/>
      <c r="BB37" s="86" t="n"/>
      <c r="BC37" s="88" t="n"/>
      <c r="BD37" s="85" t="n"/>
      <c r="BE37" s="88" t="n"/>
      <c r="BF37" s="85" t="n"/>
      <c r="BG37" s="86" t="n"/>
      <c r="BH37" s="86" t="n"/>
      <c r="BI37" s="88" t="n"/>
      <c r="BJ37" s="84" t="inlineStr">
        <is>
          <t>(711) Cyber Instructional Curriculum Developer</t>
        </is>
      </c>
    </row>
    <row r="38" ht="14" customHeight="1">
      <c r="A38" s="3" t="inlineStr">
        <is>
          <t>(712) Cyber Instructor</t>
        </is>
      </c>
      <c r="B38" s="79" t="n"/>
      <c r="H38" s="82" t="n"/>
      <c r="I38" s="79" t="n"/>
      <c r="J38" s="79" t="n"/>
      <c r="O38" s="82" t="n"/>
      <c r="P38" s="79" t="n"/>
      <c r="S38" s="82" t="n"/>
      <c r="T38" s="79" t="n"/>
      <c r="AL38" s="82" t="n"/>
      <c r="AM38" s="79" t="n"/>
      <c r="AN38" s="82" t="n"/>
      <c r="AO38" s="79" t="n"/>
      <c r="AW38" s="82" t="n"/>
      <c r="AX38" s="79" t="n"/>
      <c r="AY38" s="82" t="n"/>
      <c r="AZ38" s="79" t="n"/>
      <c r="BC38" s="82" t="n"/>
      <c r="BD38" s="79" t="n"/>
      <c r="BE38" s="126" t="n">
        <v>3</v>
      </c>
      <c r="BF38" s="79" t="n"/>
      <c r="BI38" s="82" t="n"/>
      <c r="BJ38" s="3" t="inlineStr">
        <is>
          <t>(712) Cyber Instructor</t>
        </is>
      </c>
    </row>
    <row r="39" ht="14" customHeight="1">
      <c r="A39" s="84" t="inlineStr">
        <is>
          <t>(722) Information Systems Security Manager</t>
        </is>
      </c>
      <c r="B39" s="85" t="n"/>
      <c r="C39" s="86" t="n"/>
      <c r="D39" s="108" t="n">
        <v>2</v>
      </c>
      <c r="E39" s="99" t="n">
        <v>2</v>
      </c>
      <c r="F39" s="86" t="n"/>
      <c r="G39" s="96" t="n">
        <v>2</v>
      </c>
      <c r="H39" s="88" t="n"/>
      <c r="I39" s="85" t="n"/>
      <c r="J39" s="85" t="n"/>
      <c r="K39" s="86" t="n"/>
      <c r="L39" s="86" t="n"/>
      <c r="M39" s="86" t="n"/>
      <c r="N39" s="86" t="n"/>
      <c r="O39" s="112" t="n">
        <v>2</v>
      </c>
      <c r="P39" s="85" t="n"/>
      <c r="Q39" s="86" t="n"/>
      <c r="R39" s="86" t="n"/>
      <c r="S39" s="135" t="n">
        <v>3</v>
      </c>
      <c r="T39" s="85" t="n"/>
      <c r="U39" s="86" t="n"/>
      <c r="V39" s="128" t="n">
        <v>2</v>
      </c>
      <c r="W39" s="86" t="n"/>
      <c r="X39" s="102" t="n">
        <v>2</v>
      </c>
      <c r="Y39" s="86" t="n"/>
      <c r="Z39" s="86" t="n"/>
      <c r="AA39" s="89" t="n">
        <v>3</v>
      </c>
      <c r="AB39" s="86" t="n"/>
      <c r="AC39" s="124" t="n">
        <v>2</v>
      </c>
      <c r="AD39" s="104" t="n">
        <v>3</v>
      </c>
      <c r="AE39" s="86" t="n"/>
      <c r="AF39" s="86" t="n"/>
      <c r="AG39" s="86" t="n"/>
      <c r="AH39" s="119" t="n">
        <v>3</v>
      </c>
      <c r="AI39" s="86" t="n"/>
      <c r="AJ39" s="86" t="n"/>
      <c r="AK39" s="86" t="n"/>
      <c r="AL39" s="113" t="n">
        <v>3</v>
      </c>
      <c r="AM39" s="85" t="n"/>
      <c r="AN39" s="114" t="n">
        <v>3</v>
      </c>
      <c r="AO39" s="130" t="n">
        <v>1</v>
      </c>
      <c r="AP39" s="136" t="n">
        <v>2</v>
      </c>
      <c r="AQ39" s="86" t="n"/>
      <c r="AR39" s="106" t="n">
        <v>2</v>
      </c>
      <c r="AS39" s="120" t="n">
        <v>2</v>
      </c>
      <c r="AT39" s="109" t="n">
        <v>3</v>
      </c>
      <c r="AU39" s="86" t="n"/>
      <c r="AV39" s="86" t="n"/>
      <c r="AW39" s="137" t="n">
        <v>3</v>
      </c>
      <c r="AX39" s="85" t="n"/>
      <c r="AY39" s="88" t="n"/>
      <c r="AZ39" s="85" t="n"/>
      <c r="BA39" s="86" t="n"/>
      <c r="BB39" s="86" t="n"/>
      <c r="BC39" s="88" t="n"/>
      <c r="BD39" s="85" t="n"/>
      <c r="BE39" s="126" t="n">
        <v>2</v>
      </c>
      <c r="BF39" s="85" t="n"/>
      <c r="BG39" s="86" t="n"/>
      <c r="BH39" s="86" t="n"/>
      <c r="BI39" s="88" t="n"/>
      <c r="BJ39" s="84" t="inlineStr">
        <is>
          <t>(722) Information Systems Security Manager</t>
        </is>
      </c>
    </row>
    <row r="40" ht="14" customHeight="1">
      <c r="A40" s="3" t="inlineStr">
        <is>
          <t>(723) COMSEC Manager</t>
        </is>
      </c>
      <c r="B40" s="79" t="n"/>
      <c r="H40" s="82" t="n"/>
      <c r="I40" s="79" t="n"/>
      <c r="J40" s="79" t="n"/>
      <c r="O40" s="82" t="n"/>
      <c r="P40" s="79" t="n"/>
      <c r="S40" s="135" t="n">
        <v>3</v>
      </c>
      <c r="T40" s="79" t="n"/>
      <c r="X40" s="102" t="n">
        <v>2</v>
      </c>
      <c r="AA40" s="89" t="n">
        <v>3</v>
      </c>
      <c r="AC40" s="124" t="n">
        <v>3</v>
      </c>
      <c r="AD40" s="104" t="n">
        <v>3</v>
      </c>
      <c r="AL40" s="113" t="n">
        <v>3</v>
      </c>
      <c r="AM40" s="79" t="n"/>
      <c r="AN40" s="114" t="n">
        <v>3</v>
      </c>
      <c r="AO40" s="79" t="n"/>
      <c r="AW40" s="82" t="n"/>
      <c r="AX40" s="79" t="n"/>
      <c r="AY40" s="82" t="n"/>
      <c r="AZ40" s="79" t="n"/>
      <c r="BC40" s="82" t="n"/>
      <c r="BD40" s="79" t="n"/>
      <c r="BE40" s="126" t="n">
        <v>3</v>
      </c>
      <c r="BF40" s="79" t="n"/>
      <c r="BI40" s="82" t="n"/>
      <c r="BJ40" s="3" t="inlineStr">
        <is>
          <t>(723) COMSEC Manager</t>
        </is>
      </c>
    </row>
    <row r="41" ht="14" customHeight="1">
      <c r="A41" s="84" t="inlineStr">
        <is>
          <t>(732) Privacy Compliance Manager</t>
        </is>
      </c>
      <c r="B41" s="85" t="n"/>
      <c r="C41" s="86" t="n"/>
      <c r="D41" s="86" t="n"/>
      <c r="E41" s="86" t="n"/>
      <c r="F41" s="86" t="n"/>
      <c r="G41" s="86" t="n"/>
      <c r="H41" s="88" t="n"/>
      <c r="I41" s="85" t="n"/>
      <c r="J41" s="85" t="n"/>
      <c r="K41" s="86" t="n"/>
      <c r="L41" s="86" t="n"/>
      <c r="M41" s="86" t="n"/>
      <c r="N41" s="86" t="n"/>
      <c r="O41" s="88" t="n"/>
      <c r="P41" s="85" t="n"/>
      <c r="Q41" s="86" t="n"/>
      <c r="R41" s="86" t="n"/>
      <c r="S41" s="88" t="n"/>
      <c r="T41" s="85" t="n"/>
      <c r="U41" s="86" t="n"/>
      <c r="V41" s="86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  <c r="AI41" s="86" t="n"/>
      <c r="AJ41" s="86" t="n"/>
      <c r="AK41" s="86" t="n"/>
      <c r="AL41" s="113" t="n">
        <v>3</v>
      </c>
      <c r="AM41" s="85" t="n"/>
      <c r="AN41" s="88" t="n"/>
      <c r="AO41" s="85" t="n"/>
      <c r="AP41" s="86" t="n"/>
      <c r="AQ41" s="86" t="n"/>
      <c r="AR41" s="86" t="n"/>
      <c r="AS41" s="86" t="n"/>
      <c r="AT41" s="86" t="n"/>
      <c r="AU41" s="86" t="n"/>
      <c r="AV41" s="86" t="n"/>
      <c r="AW41" s="88" t="n"/>
      <c r="AX41" s="85" t="n"/>
      <c r="AY41" s="88" t="n"/>
      <c r="AZ41" s="85" t="n"/>
      <c r="BA41" s="86" t="n"/>
      <c r="BB41" s="86" t="n"/>
      <c r="BC41" s="88" t="n"/>
      <c r="BD41" s="85" t="n"/>
      <c r="BE41" s="126" t="n">
        <v>3</v>
      </c>
      <c r="BF41" s="85" t="n"/>
      <c r="BG41" s="86" t="n"/>
      <c r="BH41" s="86" t="n"/>
      <c r="BI41" s="88" t="n"/>
      <c r="BJ41" s="84" t="inlineStr">
        <is>
          <t>(732) Privacy Compliance Manager</t>
        </is>
      </c>
    </row>
    <row r="42" ht="14" customHeight="1">
      <c r="A42" s="3" t="inlineStr">
        <is>
          <t>(751) Cyber Workforce Developer and Manager</t>
        </is>
      </c>
      <c r="B42" s="79" t="n"/>
      <c r="E42" s="99" t="n">
        <v>2</v>
      </c>
      <c r="G42" s="96" t="n">
        <v>3</v>
      </c>
      <c r="H42" s="82" t="n"/>
      <c r="I42" s="79" t="n"/>
      <c r="J42" s="79" t="n"/>
      <c r="O42" s="112" t="n">
        <v>3</v>
      </c>
      <c r="P42" s="79" t="n"/>
      <c r="S42" s="82" t="n"/>
      <c r="T42" s="79" t="n"/>
      <c r="AL42" s="113" t="n">
        <v>3</v>
      </c>
      <c r="AM42" s="79" t="n"/>
      <c r="AN42" s="114" t="n">
        <v>3</v>
      </c>
      <c r="AO42" s="79" t="n"/>
      <c r="AS42" s="120" t="n">
        <v>3</v>
      </c>
      <c r="AT42" s="109" t="n">
        <v>3</v>
      </c>
      <c r="AW42" s="82" t="n"/>
      <c r="AX42" s="79" t="n"/>
      <c r="AY42" s="94" t="n">
        <v>3</v>
      </c>
      <c r="AZ42" s="79" t="n"/>
      <c r="BC42" s="82" t="n"/>
      <c r="BD42" s="79" t="n"/>
      <c r="BE42" s="82" t="n"/>
      <c r="BF42" s="79" t="n"/>
      <c r="BI42" s="82" t="n"/>
      <c r="BJ42" s="3" t="inlineStr">
        <is>
          <t>(751) Cyber Workforce Developer and Manager</t>
        </is>
      </c>
    </row>
    <row r="43" ht="14" customHeight="1">
      <c r="A43" s="84" t="inlineStr">
        <is>
          <t>(752) Cyber Policy and Strategy Planner</t>
        </is>
      </c>
      <c r="B43" s="85" t="n"/>
      <c r="C43" s="86" t="n"/>
      <c r="D43" s="86" t="n"/>
      <c r="E43" s="99" t="n">
        <v>2</v>
      </c>
      <c r="F43" s="86" t="n"/>
      <c r="G43" s="96" t="n">
        <v>3</v>
      </c>
      <c r="H43" s="88" t="n"/>
      <c r="I43" s="85" t="n"/>
      <c r="J43" s="85" t="n"/>
      <c r="K43" s="86" t="n"/>
      <c r="L43" s="86" t="n"/>
      <c r="M43" s="86" t="n"/>
      <c r="N43" s="86" t="n"/>
      <c r="O43" s="112" t="n">
        <v>3</v>
      </c>
      <c r="P43" s="85" t="n"/>
      <c r="Q43" s="86" t="n"/>
      <c r="R43" s="86" t="n"/>
      <c r="S43" s="88" t="n"/>
      <c r="T43" s="85" t="n"/>
      <c r="U43" s="86" t="n"/>
      <c r="V43" s="86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  <c r="AI43" s="86" t="n"/>
      <c r="AJ43" s="86" t="n"/>
      <c r="AK43" s="86" t="n"/>
      <c r="AL43" s="113" t="n">
        <v>3</v>
      </c>
      <c r="AM43" s="85" t="n"/>
      <c r="AN43" s="114" t="n">
        <v>3</v>
      </c>
      <c r="AO43" s="85" t="n"/>
      <c r="AP43" s="86" t="n"/>
      <c r="AQ43" s="86" t="n"/>
      <c r="AR43" s="86" t="n"/>
      <c r="AS43" s="120" t="n">
        <v>3</v>
      </c>
      <c r="AT43" s="109" t="n">
        <v>3</v>
      </c>
      <c r="AU43" s="86" t="n"/>
      <c r="AV43" s="86" t="n"/>
      <c r="AW43" s="88" t="n"/>
      <c r="AX43" s="85" t="n"/>
      <c r="AY43" s="88" t="n"/>
      <c r="AZ43" s="85" t="n"/>
      <c r="BA43" s="86" t="n"/>
      <c r="BB43" s="86" t="n"/>
      <c r="BC43" s="88" t="n"/>
      <c r="BD43" s="85" t="n"/>
      <c r="BE43" s="126" t="n">
        <v>3</v>
      </c>
      <c r="BF43" s="85" t="n"/>
      <c r="BG43" s="86" t="n"/>
      <c r="BH43" s="86" t="n"/>
      <c r="BI43" s="88" t="n"/>
      <c r="BJ43" s="84" t="inlineStr">
        <is>
          <t>(752) Cyber Policy and Strategy Planner</t>
        </is>
      </c>
    </row>
    <row r="44" ht="14" customHeight="1">
      <c r="A44" s="3" t="inlineStr">
        <is>
          <t>(801) Program Manager</t>
        </is>
      </c>
      <c r="B44" s="79" t="n"/>
      <c r="G44" s="96" t="n">
        <v>2</v>
      </c>
      <c r="H44" s="82" t="n"/>
      <c r="I44" s="81" t="n">
        <v>3</v>
      </c>
      <c r="J44" s="79" t="n"/>
      <c r="O44" s="112" t="n">
        <v>3</v>
      </c>
      <c r="P44" s="79" t="n"/>
      <c r="S44" s="82" t="n"/>
      <c r="T44" s="79" t="n"/>
      <c r="AB44" s="103" t="n">
        <v>3</v>
      </c>
      <c r="AL44" s="113" t="n">
        <v>3</v>
      </c>
      <c r="AM44" s="79" t="n"/>
      <c r="AN44" s="114" t="n">
        <v>3</v>
      </c>
      <c r="AO44" s="79" t="n"/>
      <c r="AP44" s="136" t="n">
        <v>2</v>
      </c>
      <c r="AT44" s="109" t="n">
        <v>3</v>
      </c>
      <c r="AW44" s="82" t="n"/>
      <c r="AX44" s="79" t="n"/>
      <c r="AY44" s="82" t="n"/>
      <c r="AZ44" s="79" t="n"/>
      <c r="BC44" s="82" t="n"/>
      <c r="BD44" s="79" t="n"/>
      <c r="BE44" s="126" t="n">
        <v>3</v>
      </c>
      <c r="BF44" s="79" t="n"/>
      <c r="BG44" s="142" t="n">
        <v>2</v>
      </c>
      <c r="BI44" s="143" t="n">
        <v>3</v>
      </c>
      <c r="BJ44" s="3" t="inlineStr">
        <is>
          <t>(801) Program Manager</t>
        </is>
      </c>
    </row>
    <row r="45" ht="14" customHeight="1">
      <c r="A45" s="84" t="inlineStr">
        <is>
          <t>(802) IT Project Manager</t>
        </is>
      </c>
      <c r="B45" s="85" t="n"/>
      <c r="C45" s="86" t="n"/>
      <c r="D45" s="86" t="n"/>
      <c r="E45" s="99" t="n">
        <v>2</v>
      </c>
      <c r="F45" s="86" t="n"/>
      <c r="G45" s="96" t="n">
        <v>2</v>
      </c>
      <c r="H45" s="88" t="n"/>
      <c r="I45" s="81" t="n">
        <v>3</v>
      </c>
      <c r="J45" s="85" t="n"/>
      <c r="K45" s="86" t="n"/>
      <c r="L45" s="86" t="n"/>
      <c r="M45" s="86" t="n"/>
      <c r="N45" s="86" t="n"/>
      <c r="O45" s="112" t="n">
        <v>3</v>
      </c>
      <c r="P45" s="85" t="n"/>
      <c r="Q45" s="133" t="n">
        <v>3</v>
      </c>
      <c r="R45" s="86" t="n"/>
      <c r="S45" s="135" t="n">
        <v>3</v>
      </c>
      <c r="T45" s="85" t="n"/>
      <c r="U45" s="86" t="n"/>
      <c r="V45" s="86" t="n"/>
      <c r="W45" s="86" t="n"/>
      <c r="X45" s="102" t="n">
        <v>2</v>
      </c>
      <c r="Y45" s="86" t="n"/>
      <c r="Z45" s="86" t="n"/>
      <c r="AA45" s="86" t="n"/>
      <c r="AB45" s="103" t="n">
        <v>3</v>
      </c>
      <c r="AC45" s="86" t="n"/>
      <c r="AD45" s="86" t="n"/>
      <c r="AE45" s="86" t="n"/>
      <c r="AF45" s="86" t="n"/>
      <c r="AG45" s="86" t="n"/>
      <c r="AH45" s="86" t="n"/>
      <c r="AI45" s="86" t="n"/>
      <c r="AJ45" s="86" t="n"/>
      <c r="AK45" s="86" t="n"/>
      <c r="AL45" s="113" t="n">
        <v>3</v>
      </c>
      <c r="AM45" s="105" t="n">
        <v>3</v>
      </c>
      <c r="AN45" s="114" t="n">
        <v>3</v>
      </c>
      <c r="AO45" s="85" t="n"/>
      <c r="AP45" s="86" t="n"/>
      <c r="AQ45" s="86" t="n"/>
      <c r="AR45" s="86" t="n"/>
      <c r="AS45" s="120" t="n">
        <v>3</v>
      </c>
      <c r="AT45" s="109" t="n">
        <v>3</v>
      </c>
      <c r="AU45" s="86" t="n"/>
      <c r="AV45" s="111" t="n">
        <v>3</v>
      </c>
      <c r="AW45" s="137" t="n">
        <v>3</v>
      </c>
      <c r="AX45" s="85" t="n"/>
      <c r="AY45" s="88" t="n"/>
      <c r="AZ45" s="85" t="n"/>
      <c r="BA45" s="86" t="n"/>
      <c r="BB45" s="86" t="n"/>
      <c r="BC45" s="88" t="n"/>
      <c r="BD45" s="85" t="n"/>
      <c r="BE45" s="88" t="n"/>
      <c r="BF45" s="85" t="n"/>
      <c r="BG45" s="142" t="n">
        <v>2</v>
      </c>
      <c r="BH45" s="86" t="n"/>
      <c r="BI45" s="143" t="n">
        <v>3</v>
      </c>
      <c r="BJ45" s="84" t="inlineStr">
        <is>
          <t>(802) IT Project Manager</t>
        </is>
      </c>
    </row>
    <row r="46" ht="14" customHeight="1">
      <c r="A46" s="3" t="inlineStr">
        <is>
          <t>(803) Product Support Manager</t>
        </is>
      </c>
      <c r="B46" s="79" t="n"/>
      <c r="H46" s="82" t="n"/>
      <c r="I46" s="81" t="n">
        <v>3</v>
      </c>
      <c r="J46" s="79" t="n"/>
      <c r="O46" s="112" t="n">
        <v>3</v>
      </c>
      <c r="P46" s="79" t="n"/>
      <c r="S46" s="82" t="n"/>
      <c r="T46" s="123" t="n">
        <v>3</v>
      </c>
      <c r="AB46" s="103" t="n">
        <v>3</v>
      </c>
      <c r="AC46" s="124" t="n">
        <v>3</v>
      </c>
      <c r="AL46" s="113" t="n">
        <v>3</v>
      </c>
      <c r="AM46" s="79" t="n"/>
      <c r="AN46" s="82" t="n"/>
      <c r="AO46" s="79" t="n"/>
      <c r="AW46" s="82" t="n"/>
      <c r="AX46" s="79" t="n"/>
      <c r="AY46" s="82" t="n"/>
      <c r="AZ46" s="79" t="n"/>
      <c r="BC46" s="82" t="n"/>
      <c r="BD46" s="79" t="n"/>
      <c r="BE46" s="82" t="n"/>
      <c r="BF46" s="105" t="n">
        <v>2</v>
      </c>
      <c r="BH46" s="144" t="n">
        <v>3</v>
      </c>
      <c r="BI46" s="82" t="n"/>
      <c r="BJ46" s="3" t="inlineStr">
        <is>
          <t>(803) Product Support Manager</t>
        </is>
      </c>
    </row>
    <row r="47" ht="14" customHeight="1">
      <c r="A47" s="84" t="inlineStr">
        <is>
          <t>(804) IT Investment/Portfolio Manager</t>
        </is>
      </c>
      <c r="B47" s="85" t="n"/>
      <c r="C47" s="86" t="n"/>
      <c r="D47" s="86" t="n"/>
      <c r="E47" s="86" t="n"/>
      <c r="F47" s="86" t="n"/>
      <c r="G47" s="86" t="n"/>
      <c r="H47" s="88" t="n"/>
      <c r="I47" s="85" t="n"/>
      <c r="J47" s="85" t="n"/>
      <c r="K47" s="86" t="n"/>
      <c r="L47" s="86" t="n"/>
      <c r="M47" s="86" t="n"/>
      <c r="N47" s="86" t="n"/>
      <c r="O47" s="112" t="n">
        <v>3</v>
      </c>
      <c r="P47" s="85" t="n"/>
      <c r="Q47" s="133" t="n">
        <v>3</v>
      </c>
      <c r="R47" s="86" t="n"/>
      <c r="S47" s="135" t="n">
        <v>3</v>
      </c>
      <c r="T47" s="85" t="n"/>
      <c r="U47" s="86" t="n"/>
      <c r="V47" s="86" t="n"/>
      <c r="W47" s="86" t="n"/>
      <c r="X47" s="86" t="n"/>
      <c r="Y47" s="86" t="n"/>
      <c r="Z47" s="86" t="n"/>
      <c r="AA47" s="86" t="n"/>
      <c r="AB47" s="103" t="n">
        <v>3</v>
      </c>
      <c r="AC47" s="124" t="n">
        <v>3</v>
      </c>
      <c r="AD47" s="86" t="n"/>
      <c r="AE47" s="86" t="n"/>
      <c r="AF47" s="86" t="n"/>
      <c r="AG47" s="86" t="n"/>
      <c r="AH47" s="86" t="n"/>
      <c r="AI47" s="86" t="n"/>
      <c r="AJ47" s="86" t="n"/>
      <c r="AK47" s="86" t="n"/>
      <c r="AL47" s="113" t="n">
        <v>3</v>
      </c>
      <c r="AM47" s="85" t="n"/>
      <c r="AN47" s="114" t="n">
        <v>3</v>
      </c>
      <c r="AO47" s="85" t="n"/>
      <c r="AP47" s="86" t="n"/>
      <c r="AQ47" s="86" t="n"/>
      <c r="AR47" s="86" t="n"/>
      <c r="AS47" s="86" t="n"/>
      <c r="AT47" s="109" t="n">
        <v>3</v>
      </c>
      <c r="AU47" s="86" t="n"/>
      <c r="AV47" s="86" t="n"/>
      <c r="AW47" s="88" t="n"/>
      <c r="AX47" s="85" t="n"/>
      <c r="AY47" s="88" t="n"/>
      <c r="AZ47" s="85" t="n"/>
      <c r="BA47" s="86" t="n"/>
      <c r="BB47" s="86" t="n"/>
      <c r="BC47" s="88" t="n"/>
      <c r="BD47" s="85" t="n"/>
      <c r="BE47" s="126" t="n">
        <v>3</v>
      </c>
      <c r="BF47" s="85" t="n"/>
      <c r="BG47" s="86" t="n"/>
      <c r="BH47" s="86" t="n"/>
      <c r="BI47" s="88" t="n"/>
      <c r="BJ47" s="84" t="inlineStr">
        <is>
          <t>(804) IT Investment/Portfolio Manager</t>
        </is>
      </c>
    </row>
    <row r="48" ht="14" customHeight="1">
      <c r="A48" s="3" t="inlineStr">
        <is>
          <t>(805) IT Program Auditor</t>
        </is>
      </c>
      <c r="B48" s="79" t="n"/>
      <c r="E48" s="99" t="n">
        <v>2</v>
      </c>
      <c r="G48" s="96" t="n">
        <v>2</v>
      </c>
      <c r="H48" s="82" t="n"/>
      <c r="I48" s="81" t="n">
        <v>3</v>
      </c>
      <c r="J48" s="79" t="n"/>
      <c r="O48" s="112" t="n">
        <v>3</v>
      </c>
      <c r="P48" s="79" t="n"/>
      <c r="Q48" s="133" t="n">
        <v>3</v>
      </c>
      <c r="S48" s="135" t="n">
        <v>3</v>
      </c>
      <c r="T48" s="123" t="n">
        <v>3</v>
      </c>
      <c r="X48" s="102" t="n">
        <v>2</v>
      </c>
      <c r="AC48" s="124" t="n">
        <v>3</v>
      </c>
      <c r="AE48" s="125" t="n">
        <v>2</v>
      </c>
      <c r="AL48" s="113" t="n">
        <v>3</v>
      </c>
      <c r="AM48" s="105" t="n">
        <v>3</v>
      </c>
      <c r="AN48" s="114" t="n">
        <v>3</v>
      </c>
      <c r="AO48" s="79" t="n"/>
      <c r="AP48" s="136" t="n">
        <v>2</v>
      </c>
      <c r="AR48" s="106" t="n">
        <v>2</v>
      </c>
      <c r="AS48" s="120" t="n">
        <v>3</v>
      </c>
      <c r="AT48" s="109" t="n">
        <v>3</v>
      </c>
      <c r="AW48" s="82" t="n"/>
      <c r="AX48" s="79" t="n"/>
      <c r="AY48" s="82" t="n"/>
      <c r="AZ48" s="79" t="n"/>
      <c r="BC48" s="82" t="n"/>
      <c r="BD48" s="79" t="n"/>
      <c r="BE48" s="82" t="n"/>
      <c r="BF48" s="79" t="n"/>
      <c r="BI48" s="82" t="n"/>
      <c r="BJ48" s="3" t="inlineStr">
        <is>
          <t>(805) IT Program Auditor</t>
        </is>
      </c>
    </row>
    <row r="49" ht="40" customHeight="1">
      <c r="A49" s="145" t="inlineStr">
        <is>
          <t>Proficiency levels:
Basic = 1, Intermediate = 2, Advanced = 3</t>
        </is>
      </c>
      <c r="B49" s="146" t="inlineStr">
        <is>
          <t>A+</t>
        </is>
      </c>
      <c r="C49" s="147" t="inlineStr">
        <is>
          <t>Net+</t>
        </is>
      </c>
      <c r="D49" s="148" t="inlineStr">
        <is>
          <t>Cloud+</t>
        </is>
      </c>
      <c r="E49" s="149" t="inlineStr">
        <is>
          <t>Sec+</t>
        </is>
      </c>
      <c r="F49" s="150" t="inlineStr">
        <is>
          <t>PenTest</t>
        </is>
      </c>
      <c r="G49" s="151" t="inlineStr">
        <is>
          <t>CASP+</t>
        </is>
      </c>
      <c r="H49" s="152" t="inlineStr">
        <is>
          <t>CySA+</t>
        </is>
      </c>
      <c r="I49" s="153" t="inlineStr">
        <is>
          <t>RCCE-1</t>
        </is>
      </c>
      <c r="J49" s="154" t="inlineStr">
        <is>
          <t>CND</t>
        </is>
      </c>
      <c r="K49" s="155" t="inlineStr">
        <is>
          <t>CEH</t>
        </is>
      </c>
      <c r="L49" s="156" t="inlineStr">
        <is>
          <t>CEH(P)</t>
        </is>
      </c>
      <c r="M49" s="157" t="inlineStr">
        <is>
          <t>CHFI</t>
        </is>
      </c>
      <c r="N49" s="158" t="inlineStr">
        <is>
          <t>ECIH</t>
        </is>
      </c>
      <c r="O49" s="159" t="inlineStr">
        <is>
          <t>CCISO</t>
        </is>
      </c>
      <c r="P49" s="160" t="inlineStr">
        <is>
          <t>FITSP-D</t>
        </is>
      </c>
      <c r="Q49" s="161" t="inlineStr">
        <is>
          <t>FITSP-A</t>
        </is>
      </c>
      <c r="R49" s="162" t="inlineStr">
        <is>
          <t>FITSP-O</t>
        </is>
      </c>
      <c r="S49" s="163" t="inlineStr">
        <is>
          <t>FITSP-M</t>
        </is>
      </c>
      <c r="T49" s="164" t="inlineStr">
        <is>
          <t>GISF</t>
        </is>
      </c>
      <c r="U49" s="165" t="inlineStr">
        <is>
          <t>GDSA</t>
        </is>
      </c>
      <c r="V49" s="166" t="inlineStr">
        <is>
          <t>GMON</t>
        </is>
      </c>
      <c r="W49" s="167" t="inlineStr">
        <is>
          <t>GRID</t>
        </is>
      </c>
      <c r="X49" s="168" t="inlineStr">
        <is>
          <t>GSEC</t>
        </is>
      </c>
      <c r="Y49" s="169" t="inlineStr">
        <is>
          <t>GCLD</t>
        </is>
      </c>
      <c r="Z49" s="170" t="inlineStr">
        <is>
          <t>GCED</t>
        </is>
      </c>
      <c r="AA49" s="171" t="inlineStr">
        <is>
          <t>GCIH</t>
        </is>
      </c>
      <c r="AB49" s="172" t="inlineStr">
        <is>
          <t>GFACT</t>
        </is>
      </c>
      <c r="AC49" s="173" t="inlineStr">
        <is>
          <t>GCSA</t>
        </is>
      </c>
      <c r="AD49" s="174" t="inlineStr">
        <is>
          <t>GICSP</t>
        </is>
      </c>
      <c r="AE49" s="175" t="inlineStr">
        <is>
          <t>GSNA</t>
        </is>
      </c>
      <c r="AF49" s="176" t="inlineStr">
        <is>
          <t>GCFA</t>
        </is>
      </c>
      <c r="AG49" s="177" t="inlineStr">
        <is>
          <t>GCFE</t>
        </is>
      </c>
      <c r="AH49" s="178" t="inlineStr">
        <is>
          <t>GCIA</t>
        </is>
      </c>
      <c r="AI49" s="179" t="inlineStr">
        <is>
          <t>GCTI</t>
        </is>
      </c>
      <c r="AJ49" s="180" t="inlineStr">
        <is>
          <t>GPEN</t>
        </is>
      </c>
      <c r="AK49" s="181" t="inlineStr">
        <is>
          <t>GREM</t>
        </is>
      </c>
      <c r="AL49" s="182" t="inlineStr">
        <is>
          <t>GSLC</t>
        </is>
      </c>
      <c r="AM49" s="183" t="inlineStr">
        <is>
          <t>CISA</t>
        </is>
      </c>
      <c r="AN49" s="184" t="inlineStr">
        <is>
          <t>CISM</t>
        </is>
      </c>
      <c r="AO49" s="185" t="inlineStr">
        <is>
          <t>CC</t>
        </is>
      </c>
      <c r="AP49" s="186" t="inlineStr">
        <is>
          <t>CGRC</t>
        </is>
      </c>
      <c r="AQ49" s="187" t="inlineStr">
        <is>
          <t>CSSLP</t>
        </is>
      </c>
      <c r="AR49" s="188" t="inlineStr">
        <is>
          <t>SSCP</t>
        </is>
      </c>
      <c r="AS49" s="189" t="inlineStr">
        <is>
          <t>CCSP</t>
        </is>
      </c>
      <c r="AT49" s="190" t="inlineStr">
        <is>
          <t>CISSP</t>
        </is>
      </c>
      <c r="AU49" s="191" t="inlineStr">
        <is>
          <t>ISSAP</t>
        </is>
      </c>
      <c r="AV49" s="192" t="inlineStr">
        <is>
          <t>ISSEP</t>
        </is>
      </c>
      <c r="AW49" s="193" t="inlineStr">
        <is>
          <t>ISSMP</t>
        </is>
      </c>
      <c r="AX49" s="194" t="inlineStr">
        <is>
          <t>CSC</t>
        </is>
      </c>
      <c r="AY49" s="195" t="inlineStr">
        <is>
          <t>CFR</t>
        </is>
      </c>
      <c r="AZ49" s="196" t="inlineStr">
        <is>
          <t>CBROPS</t>
        </is>
      </c>
      <c r="BA49" s="197" t="inlineStr">
        <is>
          <t>CCNA</t>
        </is>
      </c>
      <c r="BB49" s="198" t="inlineStr">
        <is>
          <t>CCNP-E</t>
        </is>
      </c>
      <c r="BC49" s="199" t="inlineStr">
        <is>
          <t>CCNP-S</t>
        </is>
      </c>
      <c r="BD49" s="200" t="inlineStr">
        <is>
          <t>CPTE</t>
        </is>
      </c>
      <c r="BE49" s="201" t="inlineStr">
        <is>
          <t>CISSO</t>
        </is>
      </c>
      <c r="BF49" s="183" t="inlineStr">
        <is>
          <t>LCL-F</t>
        </is>
      </c>
      <c r="BG49" s="202" t="inlineStr">
        <is>
          <t>PM-P</t>
        </is>
      </c>
      <c r="BH49" s="203" t="inlineStr">
        <is>
          <t>LCL-A</t>
        </is>
      </c>
      <c r="BI49" s="204" t="inlineStr">
        <is>
          <t>PM-A</t>
        </is>
      </c>
      <c r="BJ49" s="145" t="inlineStr">
        <is>
          <t>darker shades cover more work roles</t>
        </is>
      </c>
    </row>
    <row r="50" ht="14" customHeight="1">
      <c r="A50" s="205" t="inlineStr">
        <is>
          <t>Total Positions Covered</t>
        </is>
      </c>
      <c r="B50" s="206">
        <f>COUNT(B4:B48)</f>
        <v/>
      </c>
      <c r="C50" s="207">
        <f>COUNT(C4:C48)</f>
        <v/>
      </c>
      <c r="D50" s="208">
        <f>COUNT(D4:D48)</f>
        <v/>
      </c>
      <c r="E50" s="209">
        <f>COUNT(E4:E48)</f>
        <v/>
      </c>
      <c r="F50" s="210">
        <f>COUNT(F4:F48)</f>
        <v/>
      </c>
      <c r="G50" s="211">
        <f>COUNT(G4:G48)</f>
        <v/>
      </c>
      <c r="H50" s="210">
        <f>COUNT(H4:H48)</f>
        <v/>
      </c>
      <c r="I50" s="212">
        <f>COUNT(I4:I48)</f>
        <v/>
      </c>
      <c r="J50" s="210">
        <f>COUNT(J4:J48)</f>
        <v/>
      </c>
      <c r="K50" s="213">
        <f>COUNT(K4:K48)</f>
        <v/>
      </c>
      <c r="L50" s="206">
        <f>COUNT(L4:L48)</f>
        <v/>
      </c>
      <c r="M50" s="206">
        <f>COUNT(M4:M48)</f>
        <v/>
      </c>
      <c r="N50" s="214">
        <f>COUNT(N4:N48)</f>
        <v/>
      </c>
      <c r="O50" s="215">
        <f>COUNT(O4:O48)</f>
        <v/>
      </c>
      <c r="P50" s="216">
        <f>COUNT(P4:P48)</f>
        <v/>
      </c>
      <c r="Q50" s="207">
        <f>COUNT(Q4:Q48)</f>
        <v/>
      </c>
      <c r="R50" s="207">
        <f>COUNT(R4:R48)</f>
        <v/>
      </c>
      <c r="S50" s="213">
        <f>COUNT(S4:S48)</f>
        <v/>
      </c>
      <c r="T50" s="217">
        <f>COUNT(T4:T48)</f>
        <v/>
      </c>
      <c r="U50" s="218">
        <f>COUNT(U4:U48)</f>
        <v/>
      </c>
      <c r="V50" s="216">
        <f>COUNT(V4:V48)</f>
        <v/>
      </c>
      <c r="W50" s="206">
        <f>COUNT(W4:W48)</f>
        <v/>
      </c>
      <c r="X50" s="219">
        <f>COUNT(X4:X48)</f>
        <v/>
      </c>
      <c r="Y50" s="220">
        <f>COUNT(Y4:Y48)</f>
        <v/>
      </c>
      <c r="Z50" s="216">
        <f>COUNT(Z4:Z48)</f>
        <v/>
      </c>
      <c r="AA50" s="220">
        <f>COUNT(AA4:AA48)</f>
        <v/>
      </c>
      <c r="AB50" s="220">
        <f>COUNT(AB4:AB48)</f>
        <v/>
      </c>
      <c r="AC50" s="208">
        <f>COUNT(AC4:AC48)</f>
        <v/>
      </c>
      <c r="AD50" s="212">
        <f>COUNT(AD4:AD48)</f>
        <v/>
      </c>
      <c r="AE50" s="216">
        <f>COUNT(AE4:AE48)</f>
        <v/>
      </c>
      <c r="AF50" s="213">
        <f>COUNT(AF4:AF48)</f>
        <v/>
      </c>
      <c r="AG50" s="206">
        <f>COUNT(AG4:AG48)</f>
        <v/>
      </c>
      <c r="AH50" s="213">
        <f>COUNT(AH4:AH48)</f>
        <v/>
      </c>
      <c r="AI50" s="216">
        <f>COUNT(AI4:AI48)</f>
        <v/>
      </c>
      <c r="AJ50" s="207">
        <f>COUNT(AJ4:AJ48)</f>
        <v/>
      </c>
      <c r="AK50" s="214">
        <f>COUNT(AK4:AK48)</f>
        <v/>
      </c>
      <c r="AL50" s="221">
        <f>COUNT(AL4:AL48)</f>
        <v/>
      </c>
      <c r="AM50" s="218">
        <f>COUNT(AM4:AM48)</f>
        <v/>
      </c>
      <c r="AN50" s="222">
        <f>COUNT(AN4:AN48)</f>
        <v/>
      </c>
      <c r="AO50" s="207">
        <f>COUNT(AO4:AO48)</f>
        <v/>
      </c>
      <c r="AP50" s="207">
        <f>COUNT(AP4:AP48)</f>
        <v/>
      </c>
      <c r="AQ50" s="207">
        <f>COUNT(AQ4:AQ48)</f>
        <v/>
      </c>
      <c r="AR50" s="221">
        <f>COUNT(AR4:AR48)</f>
        <v/>
      </c>
      <c r="AS50" s="208">
        <f>COUNT(AS4:AS48)</f>
        <v/>
      </c>
      <c r="AT50" s="215">
        <f>COUNT(AT4:AT48)</f>
        <v/>
      </c>
      <c r="AU50" s="207">
        <f>COUNT(AU4:AU48)</f>
        <v/>
      </c>
      <c r="AV50" s="210">
        <f>COUNT(AV4:AV48)</f>
        <v/>
      </c>
      <c r="AW50" s="206">
        <f>COUNT(AW4:AW48)</f>
        <v/>
      </c>
      <c r="AX50" s="223">
        <f>COUNT(AX4:AX48)</f>
        <v/>
      </c>
      <c r="AY50" s="220">
        <f>COUNT(AY4:AY48)</f>
        <v/>
      </c>
      <c r="AZ50" s="223">
        <f>COUNT(AZ4:AZ48)</f>
        <v/>
      </c>
      <c r="BA50" s="214">
        <f>COUNT(BA4:BA48)</f>
        <v/>
      </c>
      <c r="BB50" s="214">
        <f>COUNT(BB4:BB48)</f>
        <v/>
      </c>
      <c r="BC50" s="216">
        <f>COUNT(BC4:BC48)</f>
        <v/>
      </c>
      <c r="BD50" s="214">
        <f>COUNT(BD4:BD48)</f>
        <v/>
      </c>
      <c r="BE50" s="215">
        <f>COUNT(BE4:BE48)</f>
        <v/>
      </c>
      <c r="BF50" s="214">
        <f>COUNT(BF4:BF48)</f>
        <v/>
      </c>
      <c r="BG50" s="223">
        <f>COUNT(BG4:BG48)</f>
        <v/>
      </c>
      <c r="BH50" s="214">
        <f>COUNT(BH4:BH48)</f>
        <v/>
      </c>
      <c r="BI50" s="223">
        <f>COUNT(BI4:BI48)</f>
        <v/>
      </c>
      <c r="BJ50" s="205" t="inlineStr">
        <is>
          <t>Total Positions Covered</t>
        </is>
      </c>
    </row>
    <row r="51" ht="14" customHeight="1">
      <c r="A51" s="205" t="inlineStr">
        <is>
          <t>Total "Points" (proficiency levels × positions)</t>
        </is>
      </c>
      <c r="B51" s="224">
        <f>SUM(B4:B48)</f>
        <v/>
      </c>
      <c r="C51" s="225">
        <f>SUM(C4:C48)</f>
        <v/>
      </c>
      <c r="D51" s="226">
        <f>SUM(D4:D48)</f>
        <v/>
      </c>
      <c r="E51" s="227">
        <f>SUM(E4:E48)</f>
        <v/>
      </c>
      <c r="F51" s="228">
        <f>SUM(F4:F48)</f>
        <v/>
      </c>
      <c r="G51" s="229">
        <f>SUM(G4:G48)</f>
        <v/>
      </c>
      <c r="H51" s="230">
        <f>SUM(H4:H48)</f>
        <v/>
      </c>
      <c r="I51" s="231">
        <f>SUM(I4:I48)</f>
        <v/>
      </c>
      <c r="J51" s="232">
        <f>SUM(J4:J48)</f>
        <v/>
      </c>
      <c r="K51" s="233">
        <f>SUM(K4:K48)</f>
        <v/>
      </c>
      <c r="L51" s="234">
        <f>SUM(L4:L48)</f>
        <v/>
      </c>
      <c r="M51" s="234">
        <f>SUM(M4:M48)</f>
        <v/>
      </c>
      <c r="N51" s="235">
        <f>SUM(N4:N48)</f>
        <v/>
      </c>
      <c r="O51" s="236">
        <f>SUM(O4:O48)</f>
        <v/>
      </c>
      <c r="P51" s="237">
        <f>SUM(P4:P48)</f>
        <v/>
      </c>
      <c r="Q51" s="233">
        <f>SUM(Q4:Q48)</f>
        <v/>
      </c>
      <c r="R51" s="233">
        <f>SUM(R4:R48)</f>
        <v/>
      </c>
      <c r="S51" s="238">
        <f>SUM(S4:S48)</f>
        <v/>
      </c>
      <c r="T51" s="239">
        <f>SUM(T4:T48)</f>
        <v/>
      </c>
      <c r="U51" s="240">
        <f>SUM(U4:U48)</f>
        <v/>
      </c>
      <c r="V51" s="241">
        <f>SUM(V4:V48)</f>
        <v/>
      </c>
      <c r="W51" s="234">
        <f>SUM(W4:W48)</f>
        <v/>
      </c>
      <c r="X51" s="242">
        <f>SUM(X4:X48)</f>
        <v/>
      </c>
      <c r="Y51" s="243">
        <f>SUM(Y4:Y48)</f>
        <v/>
      </c>
      <c r="Z51" s="244">
        <f>SUM(Z4:Z48)</f>
        <v/>
      </c>
      <c r="AA51" s="228">
        <f>SUM(AA4:AA48)</f>
        <v/>
      </c>
      <c r="AB51" s="228">
        <f>SUM(AB4:AB48)</f>
        <v/>
      </c>
      <c r="AC51" s="245">
        <f>SUM(AC4:AC48)</f>
        <v/>
      </c>
      <c r="AD51" s="236">
        <f>SUM(AD4:AD48)</f>
        <v/>
      </c>
      <c r="AE51" s="232">
        <f>SUM(AE4:AE48)</f>
        <v/>
      </c>
      <c r="AF51" s="246">
        <f>SUM(AF4:AF48)</f>
        <v/>
      </c>
      <c r="AG51" s="244">
        <f>SUM(AG4:AG48)</f>
        <v/>
      </c>
      <c r="AH51" s="246">
        <f>SUM(AH4:AH48)</f>
        <v/>
      </c>
      <c r="AI51" s="240">
        <f>SUM(AI4:AI48)</f>
        <v/>
      </c>
      <c r="AJ51" s="239">
        <f>SUM(AJ4:AJ48)</f>
        <v/>
      </c>
      <c r="AK51" s="224">
        <f>SUM(AK4:AK48)</f>
        <v/>
      </c>
      <c r="AL51" s="247">
        <f>SUM(AL4:AL48)</f>
        <v/>
      </c>
      <c r="AM51" s="248">
        <f>SUM(AM4:AM48)</f>
        <v/>
      </c>
      <c r="AN51" s="245">
        <f>SUM(AN4:AN48)</f>
        <v/>
      </c>
      <c r="AO51" s="225">
        <f>SUM(AO4:AO48)</f>
        <v/>
      </c>
      <c r="AP51" s="237">
        <f>SUM(AP4:AP48)</f>
        <v/>
      </c>
      <c r="AQ51" s="237">
        <f>SUM(AQ4:AQ48)</f>
        <v/>
      </c>
      <c r="AR51" s="249">
        <f>SUM(AR4:AR48)</f>
        <v/>
      </c>
      <c r="AS51" s="250">
        <f>SUM(AS4:AS48)</f>
        <v/>
      </c>
      <c r="AT51" s="231">
        <f>SUM(AT4:AT48)</f>
        <v/>
      </c>
      <c r="AU51" s="239">
        <f>SUM(AU4:AU48)</f>
        <v/>
      </c>
      <c r="AV51" s="226">
        <f>SUM(AV4:AV48)</f>
        <v/>
      </c>
      <c r="AW51" s="244">
        <f>SUM(AW4:AW48)</f>
        <v/>
      </c>
      <c r="AX51" s="251">
        <f>SUM(AX4:AX48)</f>
        <v/>
      </c>
      <c r="AY51" s="252">
        <f>SUM(AY4:AY48)</f>
        <v/>
      </c>
      <c r="AZ51" s="225">
        <f>SUM(AZ4:AZ48)</f>
        <v/>
      </c>
      <c r="BA51" s="224">
        <f>SUM(BA4:BA48)</f>
        <v/>
      </c>
      <c r="BB51" s="224">
        <f>SUM(BB4:BB48)</f>
        <v/>
      </c>
      <c r="BC51" s="240">
        <f>SUM(BC4:BC48)</f>
        <v/>
      </c>
      <c r="BD51" s="235">
        <f>SUM(BD4:BD48)</f>
        <v/>
      </c>
      <c r="BE51" s="226">
        <f>SUM(BE4:BE48)</f>
        <v/>
      </c>
      <c r="BF51" s="235">
        <f>SUM(BF4:BF48)</f>
        <v/>
      </c>
      <c r="BG51" s="251">
        <f>SUM(BG4:BG48)</f>
        <v/>
      </c>
      <c r="BH51" s="224">
        <f>SUM(BH4:BH48)</f>
        <v/>
      </c>
      <c r="BI51" s="234">
        <f>SUM(BI4:BI48)</f>
        <v/>
      </c>
      <c r="BJ51" s="205" t="inlineStr">
        <is>
          <t>Total "Points"</t>
        </is>
      </c>
    </row>
    <row r="53" ht="26" customHeight="1">
      <c r="A53" s="253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2">
    <mergeCell ref="BF2:BI2"/>
    <mergeCell ref="AO2:AW2"/>
    <mergeCell ref="AM2:AN2"/>
    <mergeCell ref="J2:O2"/>
    <mergeCell ref="BD2:BE2"/>
    <mergeCell ref="A53:BJ53"/>
    <mergeCell ref="AX2:AY2"/>
    <mergeCell ref="B2:H2"/>
    <mergeCell ref="AZ2:BC2"/>
    <mergeCell ref="P2:S2"/>
    <mergeCell ref="A1:BJ1"/>
    <mergeCell ref="T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2026-04-19T04:48:15Z</dcterms:created>
  <dcterms:modified xmlns:dcterms="http://purl.org/dc/terms/" xmlns:xsi="http://www.w3.org/2001/XMLSchema-instance" xsi:type="dcterms:W3CDTF">2026-04-19T04:48:15Z</dcterms:modified>
  <cp:lastModifiedBy>Jeff Krueger</cp:lastModifiedBy>
</cp:coreProperties>
</file>